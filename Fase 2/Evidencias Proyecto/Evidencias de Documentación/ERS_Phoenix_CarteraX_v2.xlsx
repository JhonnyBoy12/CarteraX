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Resumen de Correcciones" sheetId="2" r:id="rId5"/>
    <sheet state="visible" name="Requerimientos Funcionales" sheetId="3" r:id="rId6"/>
    <sheet state="visible" name="Requerimientos No Funcionales" sheetId="4" r:id="rId7"/>
    <sheet state="visible" name="Arquitectura y Tecnologías" sheetId="5" r:id="rId8"/>
    <sheet state="visible" name="Trazabilidad EDT" sheetId="6" r:id="rId9"/>
  </sheets>
  <definedNames/>
  <calcPr/>
  <extLst>
    <ext uri="GoogleSheetsCustomDataVersion2">
      <go:sheetsCustomData xmlns:go="http://customooxmlschemas.google.com/" r:id="rId10" roundtripDataChecksum="uquINLhr6CwfoovaqhHWLGmtFsySVuv0u20pZ42a4mQ="/>
    </ext>
  </extLst>
</workbook>
</file>

<file path=xl/sharedStrings.xml><?xml version="1.0" encoding="utf-8"?>
<sst xmlns="http://schemas.openxmlformats.org/spreadsheetml/2006/main" count="426" uniqueCount="280">
  <si>
    <t>ERS — Sistema de Gestión de Cartera Phoenix (v2 — Consolidado)</t>
  </si>
  <si>
    <t>ERS — Sistema de Gestión de Cartera Phoenix</t>
  </si>
  <si>
    <t>Especificación de Requerimientos Funcionales y No Funcionales</t>
  </si>
  <si>
    <t>Proyecto de Capstone — Jhonny Silva - Cristobal Irarrazabal - Diego Cruz</t>
  </si>
  <si>
    <t>Basado en el análisis de archivos reales de cartera:</t>
  </si>
  <si>
    <t>• Asignacion_Octubre_Santander_Consumer.xlsx (cartera maestra, hojas CICLO 4 y RECO OTROS)</t>
  </si>
  <si>
    <t>• Cartera_MAYO_Diego_Cruz.xlsx (cartera individual de ejecutivo)</t>
  </si>
  <si>
    <t>• Cartera_Diego_Julio-1.xlsx (cartera individual, mismo ejecutivo, otro mes)</t>
  </si>
  <si>
    <t>Contenido:</t>
  </si>
  <si>
    <t>• Hoja 'Requerimientos Funcionales': RF-01 a RF-35, organizados por módulo</t>
  </si>
  <si>
    <t>• Hoja 'Requerimientos Funcionales': RF-01 a RF-33 (33 requerimientos, organizados por módulo)</t>
  </si>
  <si>
    <t>• Hoja 'Requerimientos No Funcionales': RNF-01 a RNF-22 (22 requerimientos)</t>
  </si>
  <si>
    <t>Decisiones de arquitectura actualizadas — alcance Ejecutivo:</t>
  </si>
  <si>
    <t>• Phoenix estará orientado inicialmente al rol Ejecutivo y a la gestión local de su cartera.</t>
  </si>
  <si>
    <t>• Phoenix Desktop será desarrollado con Electron + TypeScript/Node.js y utilizará SQLite como base de datos local.</t>
  </si>
  <si>
    <t>• Phoenix Mobile será una aplicación Android desarrollada en Kotlin que permitirá iniciar llamadas mediante la SIM del teléfono.</t>
  </si>
  <si>
    <t>• Desktop y Mobile se comunicarán mediante HTTP/REST y JSON sobre la red local (LAN/Wi-Fi).</t>
  </si>
  <si>
    <t>• El Ejecutivo podrá importar, validar y normalizar archivos Excel; después de la importación, el trabajo operativo se realizará sobre SQLite.</t>
  </si>
  <si>
    <t>• El sistema incluirá gestión de cartera, KPIs locales, historial, filtros y una cola progresiva de llamadas.</t>
  </si>
  <si>
    <t>• Python no formará parte obligatoria del núcleo de Phoenix; quedará como tecnología opcional para futuras funciones analíticas o de automatización.</t>
  </si>
  <si>
    <t>• Ver hoja 'Resumen de Correcciones' para el detalle de fusiones, renumeración y hallazgos frente al EDT.</t>
  </si>
  <si>
    <t>Resumen de correcciones y decisiones de diseño — ERS v2</t>
  </si>
  <si>
    <t>1. Hallazgos en el archivo original</t>
  </si>
  <si>
    <t>•  La portada anuncia una columna de 'Prioridad MoSCoW' que no existía en las hojas de requerimientos; se agregó en esta versión (columna 'Prioridad (MoSCoW)') en ambas hojas.</t>
  </si>
  <si>
    <t>•  La portada indicaba 'RF-01 a RF-35' y 'RNF-01 a RNF-17', pero el archivo real llegaba hasta RF-51 y RNF-27 (metadatos desactualizados). Se corrigió el conteo en la portada.</t>
  </si>
  <si>
    <t>•  La numeración de Requerimientos Funcionales tenía saltos (no existen RF-23, RF-24, RF-26, RF-27) y filas en blanco intercaladas; se renumeró de forma consecutiva.</t>
  </si>
  <si>
    <t>•  Se detectaron requerimientos duplicados o casi idénticos que fueron fusionados en un único ítem (ver detalle abajo), reduciendo el total de 47 RF reales a 33, y de 27 RNF a 22, sin perder alcance funcional.</t>
  </si>
  <si>
    <t>2. Requerimientos Funcionales fusionados</t>
  </si>
  <si>
    <t>•  RF-01 + RF-03 → Login y enrutamiento a interfaz principal (eran dos pasos del mismo flujo).</t>
  </si>
  <si>
    <t>•  RF-05 + RF-36 → Persistencia de cambios en SQLite (texto prácticamente idéntico, duplicado por copia entre módulos).</t>
  </si>
  <si>
    <t>•  RF-08 + RF-37 → Importar archivo Excel sin estructura fija (mismo requerimiento descrito en dos módulos distintos).</t>
  </si>
  <si>
    <t>•  RF-09 + RF-38 → Mapeo de columnas equivalentes + validación de encabezados/campos obligatorios.</t>
  </si>
  <si>
    <t>•  RF-15 + RF-22 + RF-44 → Dashboard de inicio con resumen de cartera (tres descripciones del mismo tablero).</t>
  </si>
  <si>
    <t>•  RF-18 + RF-41 → Vista de cartera en tabla con búsqueda, filtros, orden y detalle de cliente.</t>
  </si>
  <si>
    <t>•  RF-19 + RF-42 → Registrar/actualizar gestión de un cliente.</t>
  </si>
  <si>
    <t>•  RF-20 + RF-35 → Cálculo y visualización del score/ranking de prioridad.</t>
  </si>
  <si>
    <t>•  RF-21 + RF-28 → Exportación de dashboards y reportes de cartera/desempeño.</t>
  </si>
  <si>
    <t>•  RF-25 + RF-29 → Seguimiento de evolución de indicadores y avance de meta.</t>
  </si>
  <si>
    <t>•  RF-32 + RF-33 + RF-43 → Cálculo automático de % de recuperación, días de mora y KPIs derivados.</t>
  </si>
  <si>
    <t>•  RF-46 + RF-47 → Envío de la orden de llamada (Desktop→Mobile) y ejecución vía SIM (dos pasos de un mismo flujo).</t>
  </si>
  <si>
    <t>3. Requerimientos No Funcionales fusionados</t>
  </si>
  <si>
    <t>•  RNF-01 + RNF-02 → Usabilidad general (interfaz intuitiva + lenguaje simple, ambos apuntan al mismo objetivo de usabilidad).</t>
  </si>
  <si>
    <t>•  RNF-04 + RNF-05 → Identidad visual y marca corporativa (paleta + tipografía/logo/íconos).</t>
  </si>
  <si>
    <t>•  RNF-13 + RNF-22 → Disponibilidad offline-first (la 'disponibilidad' era una repetición del offline-first ya definido).</t>
  </si>
  <si>
    <t>•  RNF-15 + RNF-26 → Modularidad y mantenibilidad del código (mismo principio, descrito dos veces).</t>
  </si>
  <si>
    <t>•  RNF-18 + RNF-23 → Operación local sin servidor central (RNF-23 repetía el control de acceso ya cubierto en Seguridad y el almacenamiento local ya cubierto en RNF-18).</t>
  </si>
  <si>
    <t>4. Inconsistencias detectadas entre el ERS y el EDT (CarteraX)</t>
  </si>
  <si>
    <t>•  Arquitectura distinta: el ERS define como decisión final Phoenix Desktop en Electron + TypeScript/Node.js con SQLite, y Phoenix Mobile en Kotlin/Android SDK (llamadas vía SIM). El EDT (hojas 'EDT Diagrama' y 'Descripción EDT') describe una arquitectura anterior basada en React + FastAPI + JWT, sin ninguna tarea de app móvil Android/Kotlin.</t>
  </si>
  <si>
    <t>•  El propio EDT es internamente inconsistente en el punto 1.4.4 'Configuración del backend': indica 'Preparar JavaScript + FastAPI', pero FastAPI es un framework de Python, no de JavaScript.</t>
  </si>
  <si>
    <t>•  El EDT incluye tareas que no tienen respaldo en ningún RF/RNF del ERS: 1.7.8 'Mensajería automática (Gmail/WhatsApp)' y 1.7.9 'Marcado telefónico automático'. Si siguen vigentes, deben agregarse como RF/RNF; si no, deben retirarse del EDT para no planificar trabajo fuera de alcance.</t>
  </si>
  <si>
    <t>•  El EDT no contempla ninguna tarea para el desarrollo de Phoenix Mobile (Kotlin/Android), pese a que el ERS lo define como componente obligatorio de la arquitectura (RF-45 a RF-47, RNF-20, RNF-21, RNF-24). Se recomienda incorporar una sub-rama EDT (ej. bajo 1.7 u 8) dedicada a Phoenix Mobile.</t>
  </si>
  <si>
    <t>•  Recomendación: antes de iniciar el desarrollo, actualizar el EDT para reflejar la arquitectura vigente del ERS (Electron + SQLite + Kotlin), o bien documentar explícitamente cuál arquitectura rige si el equipo decide mantener React + FastAPI.</t>
  </si>
  <si>
    <t>5. Resultado de la consolidación</t>
  </si>
  <si>
    <t>•  Requerimientos Funcionales: 47 (con saltos de numeración) → 33, organizados en 11 módulos.</t>
  </si>
  <si>
    <t>•  Requerimientos No Funcionales: 27 → 22, organizados en 7 categorías (Usabilidad, Seguridad, Rendimiento, Disponibilidad, Mantenibilidad y Arquitectura, Portabilidad y Compatibilidad, Telefonía).</t>
  </si>
  <si>
    <t>•  Cada requerimiento consolidado conserva en la columna 'ID(s) Origen (ERS v1)' la trazabilidad hacia los ID originales, para no perder el historial de análisis.</t>
  </si>
  <si>
    <t>ID</t>
  </si>
  <si>
    <t>Módulo</t>
  </si>
  <si>
    <t>Descripción</t>
  </si>
  <si>
    <t>Prioridad (MoSCoW)</t>
  </si>
  <si>
    <t>ID(s) Origen (ERS v1)</t>
  </si>
  <si>
    <t>RF-01</t>
  </si>
  <si>
    <t>Autenticación y Sesión</t>
  </si>
  <si>
    <t>El sistema debe autenticar al Ejecutivo mediante usuario y contraseña, validando campos vacíos, formato y credenciales incorrectas con mensajes de error claros, y dirigirlo a su interfaz principal de trabajo tras un inicio de sesión exitoso.</t>
  </si>
  <si>
    <t>Must</t>
  </si>
  <si>
    <t>RF-01, RF-03</t>
  </si>
  <si>
    <t>RF-02</t>
  </si>
  <si>
    <t>El sistema debe permitir la recuperación o restablecimiento de contraseña mediante un mecanismo definido para la versión implementada (si se usa correo electrónico, requiere Internet y un servicio de envío configurado).</t>
  </si>
  <si>
    <t>Should</t>
  </si>
  <si>
    <t>RF-03</t>
  </si>
  <si>
    <t>El sistema debe contar con un botón de cierre de sesión visible en todo momento.</t>
  </si>
  <si>
    <t>RF-04</t>
  </si>
  <si>
    <t>El sistema debe guardar de forma persistente los cambios realizados por el usuario en la base de datos local SQLite, mostrando confirmación o estado cuando corresponda.</t>
  </si>
  <si>
    <t>RF-05, RF-36</t>
  </si>
  <si>
    <t>RF-05</t>
  </si>
  <si>
    <t>El sistema debe controlar los intentos fallidos de inicio de sesión, aplicando un bloqueo temporal tras X intentos como medida básica de seguridad.</t>
  </si>
  <si>
    <t>RF-06</t>
  </si>
  <si>
    <t>El sistema debe registrar la fecha y hora de inicio y cierre de sesión de cada usuario, para trazabilidad.</t>
  </si>
  <si>
    <t>Could</t>
  </si>
  <si>
    <t>RF-07</t>
  </si>
  <si>
    <t>Importación y Normalización (ETL)</t>
  </si>
  <si>
    <t>El sistema debe permitir importar archivos Excel de cartera (maestra o individual) sin exigir una estructura o nombre de archivo fijo.</t>
  </si>
  <si>
    <t>RF-08, RF-37</t>
  </si>
  <si>
    <t>RF-08</t>
  </si>
  <si>
    <t>El sistema debe validar encabezados y datos del Excel (campos obligatorios y opcionales) y mapear automáticamente columnas equivalentes que llegan con nombres distintos (ej. COL_INI/DEUDA/DEUDA TOTAL) hacia un esquema de datos único, permitiendo variaciones controladas entre plantillas.</t>
  </si>
  <si>
    <t>RF-09, RF-38</t>
  </si>
  <si>
    <t>RF-09</t>
  </si>
  <si>
    <t>El sistema debe corregir automáticamente errores comunes de formato: espacios extra, mayúsculas/minúsculas inconsistentes y valores placeholder sin significado ("0", "Sin valor", teléfonos genéricos repetidos).</t>
  </si>
  <si>
    <t>RF-10</t>
  </si>
  <si>
    <t>El sistema debe detectar valores fuera de rango o inconsistentes entre columnas relacionadas (ej. cuotas pagadas mayores a cuotas pactadas) y marcarlos para revisión.</t>
  </si>
  <si>
    <t>RF-11</t>
  </si>
  <si>
    <t>El sistema debe completar automáticamente campos de normalización que hoy quedan vacíos en el Excel original (ej. columna NORMALIZADO).</t>
  </si>
  <si>
    <t>RF-12</t>
  </si>
  <si>
    <t>El sistema debe informar al usuario, tras cada importación, un resumen de lo procesado: registros cargados, corregidos y marcados con errores o columnas no reconocidas.</t>
  </si>
  <si>
    <t>RF-13</t>
  </si>
  <si>
    <t>El sistema debe conservar el archivo original importado sin modificar, además de la versión normalizada, para trazabilidad y auditoría.</t>
  </si>
  <si>
    <t>RF-14</t>
  </si>
  <si>
    <t>Una vez confirmada la importación, el sistema debe almacenar los datos normalizados en SQLite y operar sobre dicha base local, sin depender del archivo Excel original.</t>
  </si>
  <si>
    <t>RF-39</t>
  </si>
  <si>
    <t>RF-15</t>
  </si>
  <si>
    <t>El sistema debe asociar cada importación a un período o campaña y conservar el histórico de períodos anteriores sin eliminar información previa.</t>
  </si>
  <si>
    <t>RF-40</t>
  </si>
  <si>
    <t>RF-16</t>
  </si>
  <si>
    <t>Gestión de Cartera</t>
  </si>
  <si>
    <t>El ejecutivo debe poder ver únicamente los clientes que le pertenecen, sin acceso a los de otros ejecutivos.</t>
  </si>
  <si>
    <t>RF-17</t>
  </si>
  <si>
    <t>El ejecutivo debe poder visualizar su cartera en una tabla, con búsqueda (RUT, nombre, patente), orden, filtros (tramo de mora, monto, comuna, estado de gestión) y detalle de cada cliente.</t>
  </si>
  <si>
    <t>RF-18, RF-41</t>
  </si>
  <si>
    <t>RF-18</t>
  </si>
  <si>
    <t>El ejecutivo debe poder registrar y actualizar una gestión sobre un cliente (contacto, resultado, próxima acción, observaciones, compromisos), quedando guardada en el historial del caso.</t>
  </si>
  <si>
    <t>RF-19, RF-42</t>
  </si>
  <si>
    <t>RF-19</t>
  </si>
  <si>
    <t>Priorización y Variables de Cobranza</t>
  </si>
  <si>
    <t>El sistema debe calcular automáticamente los indicadores base de cobranza de cada caso: % de recuperación (cuotas pagadas/pactadas), días de mora (a partir de fechas de vencimiento/último pago) y los KPIs locales derivados de éstos.</t>
  </si>
  <si>
    <t>RF-32, RF-33, RF-43</t>
  </si>
  <si>
    <t>RF-20</t>
  </si>
  <si>
    <t>El sistema debe clasificar el texto libre de la última gestión registrada en categorías estandarizadas (sin contacto, informado, en negociación, pago realizado, corta comunicación) mediante reglas simples basadas en palabras clave, sin modelo de machine learning.</t>
  </si>
  <si>
    <t>RF-34</t>
  </si>
  <si>
    <t>RF-21</t>
  </si>
  <si>
    <t>El sistema debe generar y mostrar un score/ranking de prioridad por cliente, combinando monto de deuda, días de mora, tramo de mora y estado de la última gestión, para que el ejecutivo sepa a quién atender primero.</t>
  </si>
  <si>
    <t>RF-20, RF-35</t>
  </si>
  <si>
    <t>RF-22</t>
  </si>
  <si>
    <t>Indicadores y Dashboard</t>
  </si>
  <si>
    <t>El ejecutivo debe disponer de una pantalla de inicio tipo dashboard con el resumen de su cartera: cantidad de clientes, monto total gestionado, % de morosidad, avance de meta, clientes gestionados/pendientes y alertas relevantes.</t>
  </si>
  <si>
    <t>RF-15, RF-22, RF-44</t>
  </si>
  <si>
    <t>RF-23</t>
  </si>
  <si>
    <t>El sistema debe contar con un módulo de dashboards propio (librerías de gráficos locales, sin depender de Power BI u otro software externo) donde el ejecutivo pueda seleccionar columnas de su cartera para construir visualizaciones personalizadas.</t>
  </si>
  <si>
    <t>RF-24</t>
  </si>
  <si>
    <t>El ejecutivo debe poder visualizar la evolución de sus indicadores y de su avance de meta durante el período activo, mediante gráficos y métricas comparativas.</t>
  </si>
  <si>
    <t>RF-25, RF-29</t>
  </si>
  <si>
    <t>RF-25</t>
  </si>
  <si>
    <t>Reportes y Exportación</t>
  </si>
  <si>
    <t>El ejecutivo debe poder generar y exportar reportes/dashboards de su cartera y desempeño por período (imagen o PDF), para compartirlos o respaldarlos fuera del sistema.</t>
  </si>
  <si>
    <t>RF-21, RF-28</t>
  </si>
  <si>
    <t>RF-26</t>
  </si>
  <si>
    <t>Alertas</t>
  </si>
  <si>
    <t>El sistema debe mostrar alertas locales cuando existan clientes de alta prioridad sin gestión reciente, compromisos próximos u otras situaciones relevantes definidas para el ejecutivo.</t>
  </si>
  <si>
    <t>RF-30</t>
  </si>
  <si>
    <t>RF-27</t>
  </si>
  <si>
    <t>Configuración</t>
  </si>
  <si>
    <t>El ejecutivo debe poder administrar configuraciones locales de la aplicación relacionadas con su entorno de trabajo, visualización y preferencias permitidas.</t>
  </si>
  <si>
    <t>RF-31</t>
  </si>
  <si>
    <t>RF-28</t>
  </si>
  <si>
    <t>Telefonía (Phoenix Mobile)</t>
  </si>
  <si>
    <t>El sistema debe permitir vincular Phoenix Desktop con Phoenix Mobile en un dispositivo Android conectado a la misma red local, verificando el estado de conexión antes de iniciar llamadas.</t>
  </si>
  <si>
    <t>RF-45</t>
  </si>
  <si>
    <t>RF-29</t>
  </si>
  <si>
    <t>Phoenix Desktop debe poder solicitar a Phoenix Mobile el inicio de una llamada (HTTP/REST, JSON) con el número telefónico, y Phoenix Mobile debe iniciarla usando la SIM del dispositivo, previa autorización del permiso de telefonía del sistema operativo.</t>
  </si>
  <si>
    <t>RF-46, RF-47</t>
  </si>
  <si>
    <t>Cola de Llamadas</t>
  </si>
  <si>
    <t>El ejecutivo debe poder iniciar una cola progresiva de llamadas construida desde los clientes habilitados en SQLite, procesando un contacto a la vez.</t>
  </si>
  <si>
    <t>RF-48</t>
  </si>
  <si>
    <t>La cola debe considerar reglas de elegibilidad: estado de contacto, número válido, indicador de no contactar, cantidad de intentos y fecha de próxima gestión.</t>
  </si>
  <si>
    <t>RF-49</t>
  </si>
  <si>
    <t>RF-32</t>
  </si>
  <si>
    <t>Al finalizar una gestión de la cola, el ejecutivo debe poder registrar el resultado y actualizar el estado del cliente antes de continuar con el siguiente elemento.</t>
  </si>
  <si>
    <t>RF-50</t>
  </si>
  <si>
    <t>RF-33</t>
  </si>
  <si>
    <t>Historial</t>
  </si>
  <si>
    <t>El sistema debe mantener un historial local de gestiones y llamadas realizadas por el ejecutivo, incluyendo fecha, cliente, resultado y observaciones cuando corresponda.</t>
  </si>
  <si>
    <t>RF-51</t>
  </si>
  <si>
    <t>Resumen de prioridades</t>
  </si>
  <si>
    <t>Total</t>
  </si>
  <si>
    <t>RNF-01</t>
  </si>
  <si>
    <t>Usabilidad e Interfaz</t>
  </si>
  <si>
    <t>La interfaz debe ser intuitiva y usar un lenguaje simple orientado al usuario de negocio (sin tecnicismos), con navegación clara y consistente entre pantallas, de modo que un ejecutivo pueda usarla sin capacitación extensa (coherente con que hoy el equipo solo usa Excel).</t>
  </si>
  <si>
    <t>RNF-01, RNF-02</t>
  </si>
  <si>
    <t>RNF-02</t>
  </si>
  <si>
    <t>El sistema debe ofrecer retroalimentación visual inmediata ante cada acción del usuario (confirmaciones, errores, estados de carga).</t>
  </si>
  <si>
    <t>RNF-03</t>
  </si>
  <si>
    <t>La interfaz debe aplicar de forma consistente la identidad visual de la marca Phoenix Service/Santander Consumer Finance: paleta corporativa (naranja y blanco), tipografía, logo y estilo de íconos.</t>
  </si>
  <si>
    <t>RNF-04, RNF-05</t>
  </si>
  <si>
    <t>RNF-04</t>
  </si>
  <si>
    <t>Seguridad</t>
  </si>
  <si>
    <t>Las contraseñas deben almacenarse cifradas (hash con salt), nunca en texto plano.</t>
  </si>
  <si>
    <t>RNF-06</t>
  </si>
  <si>
    <t>RNF-05</t>
  </si>
  <si>
    <t>El acceso a los datos debe estar restringido según el rol del usuario; un ejecutivo no puede ver ni modificar datos de otro ejecutivo.</t>
  </si>
  <si>
    <t>RNF-07</t>
  </si>
  <si>
    <t>El sistema debe proteger los datos personales y financieros de los clientes (RUT, teléfono, correo, deuda), incluyendo cifrado de datos en reposo si la base de datos lo permite y control estricto de quién accede a qué información.</t>
  </si>
  <si>
    <t>RNF-08</t>
  </si>
  <si>
    <t>Las sesiones deben expirar automáticamente tras un período de inactividad, cerrando la sesión por seguridad.</t>
  </si>
  <si>
    <t>RNF-09</t>
  </si>
  <si>
    <t>El sistema debe validar y sanitizar todos los datos ingresados (formularios y archivos importados) para evitar errores o corrupción de datos.</t>
  </si>
  <si>
    <t>RNF-10</t>
  </si>
  <si>
    <t>Rendimiento</t>
  </si>
  <si>
    <t>La importación y normalización de un archivo de cartera (hasta ~250 registros) no debe tomar más de unos pocos segundos.</t>
  </si>
  <si>
    <t>RNF-11</t>
  </si>
  <si>
    <t>Los dashboards y filtros deben responder de forma fluida, sin esperas notorias, al trabajar con la cartera de un ejecutivo (~200-250 clientes).</t>
  </si>
  <si>
    <t>RNF-12</t>
  </si>
  <si>
    <t>Disponibilidad</t>
  </si>
  <si>
    <t>Phoenix debe ser offline-first: la gestión de cartera, importación ya procesada, filtros, dashboards locales, historial y cola de llamadas deben funcionar sin conexión permanente a Internet; la ausencia de Internet no debe impedir la gestión local ni el cálculo de indicadores (las llamadas desde Phoenix Mobile sí dependerán de la red móvil del dispositivo).</t>
  </si>
  <si>
    <t>RNF-13, RNF-22</t>
  </si>
  <si>
    <t>El sistema debe permitir respaldo (backup) y restauración de la base de datos local, para evitar pérdida de información ante fallas.</t>
  </si>
  <si>
    <t>RNF-14</t>
  </si>
  <si>
    <t>RNF-13</t>
  </si>
  <si>
    <t>Mantenibilidad y Arquitectura</t>
  </si>
  <si>
    <t>El código debe organizarse de forma modular, separando interfaz, persistencia, importación/normalización, lógica de negocio, indicadores y telefonía móvil, facilitando pruebas, mantenimiento, evolución y su explicación durante la defensa del capstone.</t>
  </si>
  <si>
    <t>RNF-15, RNF-26</t>
  </si>
  <si>
    <t>La operación principal del ejecutivo debe realizarse de forma local sobre SQLite; la aplicación no debe requerir una base de datos central ni un computador servidor encendido permanentemente para gestionar la cartera.</t>
  </si>
  <si>
    <t>RNF-18, RNF-23</t>
  </si>
  <si>
    <t>RNF-15</t>
  </si>
  <si>
    <t>Phoenix Desktop debe desarrollarse con Electron + TypeScript/Node.js y utilizar SQLite/SQL para la persistencia local; Python no será una dependencia obligatoria del núcleo del sistema.</t>
  </si>
  <si>
    <t>RNF-19</t>
  </si>
  <si>
    <t>RNF-16</t>
  </si>
  <si>
    <t>Phoenix Mobile debe desarrollarse como aplicación Android nativa en Kotlin, utilizando Android SDK y los permisos de telefonía necesarios para iniciar llamadas mediante la SIM.</t>
  </si>
  <si>
    <t>RNF-20</t>
  </si>
  <si>
    <t>RNF-17</t>
  </si>
  <si>
    <t>La comunicación local entre Phoenix Desktop y Phoenix Mobile debe realizarse mediante HTTP/REST y JSON sobre LAN/Wi-Fi, sin depender de una API de telefonía de pago.</t>
  </si>
  <si>
    <t>RNF-21</t>
  </si>
  <si>
    <t>RNF-18</t>
  </si>
  <si>
    <t>Portabilidad y Compatibilidad</t>
  </si>
  <si>
    <t>El sistema debe poder instalarse y ejecutarse en un computador estándar de oficina, sin requerir hardware especializado.</t>
  </si>
  <si>
    <t>El sistema debe poder importar los formatos de Excel (.xlsx) usados actualmente por la empresa, incluyendo las variaciones de columnas ya detectadas entre archivos.</t>
  </si>
  <si>
    <t>Phoenix Desktop debe poder empaquetarse como aplicación instalable para Windows, y Phoenix Mobile como APK Android firmado, sin requerir herramientas de desarrollo en el equipo final.</t>
  </si>
  <si>
    <t>RNF-27</t>
  </si>
  <si>
    <t>Telefonía</t>
  </si>
  <si>
    <t>Phoenix Mobile debe solicitar explícitamente al usuario los permisos Android requeridos para realizar llamadas, y no debe iniciarlas si dichos permisos no han sido concedidos.</t>
  </si>
  <si>
    <t>RNF-24</t>
  </si>
  <si>
    <t>RNF-22</t>
  </si>
  <si>
    <t>La cola de llamadas debe ser progresiva y procesar un solo contacto a la vez, evitando llamadas simultáneas y permitiendo registrar el resultado antes de continuar.</t>
  </si>
  <si>
    <t>RNF-25</t>
  </si>
  <si>
    <t>Componente</t>
  </si>
  <si>
    <t>Tecnologías</t>
  </si>
  <si>
    <t>Responsabilidad</t>
  </si>
  <si>
    <t>Phoenix Desktop</t>
  </si>
  <si>
    <t>Electron + TypeScript + Node.js</t>
  </si>
  <si>
    <t>Aplicación de escritorio utilizada por el Ejecutivo para gestionar su cartera.</t>
  </si>
  <si>
    <t>Persistencia local</t>
  </si>
  <si>
    <t>SQLite + SQL</t>
  </si>
  <si>
    <t>Cartera, períodos, gestiones, configuración, KPIs locales e historial.</t>
  </si>
  <si>
    <t>Importación de cartera</t>
  </si>
  <si>
    <t>TypeScript + librería compatible con Excel (.xlsx)</t>
  </si>
  <si>
    <t>Lectura, validación, normalización y carga de Excel hacia SQLite.</t>
  </si>
  <si>
    <t>Dashboards</t>
  </si>
  <si>
    <t>Librería de gráficos para JavaScript/TypeScript</t>
  </si>
  <si>
    <t>KPIs y visualizaciones locales del avance del Ejecutivo.</t>
  </si>
  <si>
    <t>Phoenix Mobile</t>
  </si>
  <si>
    <t>Kotlin + Android SDK</t>
  </si>
  <si>
    <t>Aplicación Android vinculada al PC para ejecutar llamadas mediante la SIM.</t>
  </si>
  <si>
    <t>Desktop ↔ Mobile</t>
  </si>
  <si>
    <t>HTTP/REST + JSON + LAN/Wi-Fi</t>
  </si>
  <si>
    <t>Envío de órdenes de llamada y comprobación de conectividad local.</t>
  </si>
  <si>
    <t>Flujo</t>
  </si>
  <si>
    <t>Origen → Destino</t>
  </si>
  <si>
    <t>Importación</t>
  </si>
  <si>
    <t>Excel → Phoenix Desktop → SQLite</t>
  </si>
  <si>
    <t>El Excel alimenta la base local; Phoenix trabaja posteriormente sobre SQLite.</t>
  </si>
  <si>
    <t>Gestión diaria</t>
  </si>
  <si>
    <t>SQLite ↔ Phoenix Desktop</t>
  </si>
  <si>
    <t>El Ejecutivo consulta, filtra y actualiza clientes sin depender de una base central.</t>
  </si>
  <si>
    <t>Indicadores</t>
  </si>
  <si>
    <t>SQLite → TypeScript → Dashboard</t>
  </si>
  <si>
    <t>Phoenix calcula KPIs y progreso directamente desde la información local.</t>
  </si>
  <si>
    <t>Llamada</t>
  </si>
  <si>
    <t>Phoenix Desktop → Phoenix Mobile → SIM</t>
  </si>
  <si>
    <t>Desktop envía el teléfono por HTTP/JSON y Android inicia la llamada.</t>
  </si>
  <si>
    <t>Cola progresiva</t>
  </si>
  <si>
    <t>SQLite → TypeScript → Phoenix Mobile</t>
  </si>
  <si>
    <t>Phoenix selecciona clientes habilitados y procesa una llamada a la vez.</t>
  </si>
  <si>
    <t>Módulo ERS</t>
  </si>
  <si>
    <t>Código(s) EDT relacionados</t>
  </si>
  <si>
    <t>Observación</t>
  </si>
  <si>
    <t>1.3.6 Seguridad y roles · 1.7.2 API de autenticación (EDT) · 1.9 Seguridad y Control de Acceso</t>
  </si>
  <si>
    <t>OK, revisar 1.7.2 (API REST) vs. autenticación local del ERS</t>
  </si>
  <si>
    <t>1.6 Motor de Carga y ETL (1.6.1 a 1.6.8)</t>
  </si>
  <si>
    <t>OK, alineado</t>
  </si>
  <si>
    <t>1.5.2 a 1.5.4 Base de Datos · 1.8.3 Vista de carga de cartera</t>
  </si>
  <si>
    <t>1.5.2 Categorización clientes · 1.8.7 Alertas y priorización</t>
  </si>
  <si>
    <t>1.7.5 API de indicadores · 1.8.4 Dashboard principal · 1.8.5 Indicadores KPI · 1.8.6 Filtros</t>
  </si>
  <si>
    <t>No existe tarea EDT explícita para exportación de reportes/dashboards</t>
  </si>
  <si>
    <t>GAP: agregar tarea en 1.7/1.8 del EDT</t>
  </si>
  <si>
    <t>1.8.7 Alertas y priorización</t>
  </si>
  <si>
    <t>No existe tarea EDT explícita</t>
  </si>
  <si>
    <t>GAP: agregar tarea de configuración de usuario en 1.8</t>
  </si>
  <si>
    <t>Sin tareas EDT (el EDT no contempla app Android/Kotlin ni SIM)</t>
  </si>
  <si>
    <t>GAP CRÍTICO: EDT no incluye desarrollo de Phoenix Mobile</t>
  </si>
  <si>
    <t>1.7.9 Marcado telefónico automático (concepto distinto: marcador automático vs. cola manual vía SIM)</t>
  </si>
  <si>
    <t>INCONSISTENCIA: revisar si 'marcado automático' sigue vigente</t>
  </si>
  <si>
    <t>1.5.4 Tabla de gestiones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</si>
</sst>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4.0"/>
      <color rgb="FFE8722C"/>
      <name val="Arial"/>
    </font>
    <font>
      <b/>
      <sz val="18.0"/>
      <color theme="1"/>
      <name val="Arial"/>
    </font>
    <font>
      <b/>
      <sz val="13.0"/>
      <color theme="1"/>
      <name val="Arial"/>
    </font>
    <font>
      <sz val="11.0"/>
      <color theme="1"/>
      <name val="Arial"/>
    </font>
    <font>
      <b/>
      <sz val="11.0"/>
      <color theme="1"/>
      <name val="Arial"/>
    </font>
    <font>
      <sz val="10.0"/>
      <color theme="1"/>
      <name val="Arial"/>
    </font>
    <font>
      <b/>
      <sz val="13.0"/>
      <color rgb="FFE8722C"/>
      <name val="Arial"/>
    </font>
    <font>
      <b/>
      <sz val="10.0"/>
      <color rgb="FFC00000"/>
      <name val="Arial"/>
    </font>
    <font>
      <b/>
      <sz val="11.0"/>
      <color rgb="FFFFFFFF"/>
      <name val="Arial"/>
    </font>
    <font>
      <b/>
      <sz val="10.0"/>
      <color theme="1"/>
      <name val="Arial"/>
    </font>
    <font>
      <b/>
      <sz val="11.0"/>
      <color rgb="FFFFFFFF"/>
      <name val="Calibri"/>
    </font>
  </fonts>
  <fills count="8">
    <fill>
      <patternFill patternType="none"/>
    </fill>
    <fill>
      <patternFill patternType="lightGray"/>
    </fill>
    <fill>
      <patternFill patternType="solid">
        <fgColor rgb="FFE8630A"/>
        <bgColor rgb="FFE8630A"/>
      </patternFill>
    </fill>
    <fill>
      <patternFill patternType="solid">
        <fgColor rgb="FFE8722C"/>
        <bgColor rgb="FFE8722C"/>
      </patternFill>
    </fill>
    <fill>
      <patternFill patternType="solid">
        <fgColor rgb="FFF8CBAD"/>
        <bgColor rgb="FFF8CBAD"/>
      </patternFill>
    </fill>
    <fill>
      <patternFill patternType="solid">
        <fgColor rgb="FFFCE4D6"/>
        <bgColor rgb="FFFCE4D6"/>
      </patternFill>
    </fill>
    <fill>
      <patternFill patternType="solid">
        <fgColor rgb="FFFFF2E8"/>
        <bgColor rgb="FFFFF2E8"/>
      </patternFill>
    </fill>
    <fill>
      <patternFill patternType="solid">
        <fgColor rgb="FFE87524"/>
        <bgColor rgb="FFE87524"/>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1"/>
    </xf>
    <xf borderId="1" fillId="2" fontId="3" numFmtId="0" xfId="0" applyAlignment="1" applyBorder="1" applyFill="1" applyFont="1">
      <alignment shrinkToFit="0" vertical="center" wrapText="1"/>
    </xf>
    <xf borderId="1" fillId="2" fontId="1" numFmtId="0" xfId="0" applyAlignment="1" applyBorder="1" applyFill="1" applyFont="1">
      <alignment shrinkToFit="0" vertical="bottom" wrapText="1"/>
    </xf>
    <xf borderId="0" fillId="0" fontId="1"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1" numFmtId="0" xfId="0" applyAlignment="1" applyFont="1">
      <alignment shrinkToFit="0" vertical="bottom" wrapText="0"/>
    </xf>
    <xf borderId="0" fillId="0" fontId="8"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top" wrapText="1"/>
    </xf>
    <xf borderId="0" fillId="0" fontId="9" numFmtId="0" xfId="0" applyAlignment="1" applyFont="1">
      <alignment shrinkToFit="0" vertical="top" wrapText="1"/>
    </xf>
    <xf borderId="2" fillId="3" fontId="10" numFmtId="0" xfId="0" applyAlignment="1" applyBorder="1" applyFill="1" applyFont="1">
      <alignment horizontal="center" shrinkToFit="0" vertical="center" wrapText="1"/>
    </xf>
    <xf borderId="2" fillId="0" fontId="7" numFmtId="0" xfId="0" applyAlignment="1" applyBorder="1" applyFont="1">
      <alignment horizontal="center" shrinkToFit="0" vertical="top" wrapText="1"/>
    </xf>
    <xf borderId="2" fillId="0" fontId="7" numFmtId="0" xfId="0" applyAlignment="1" applyBorder="1" applyFont="1">
      <alignment shrinkToFit="0" vertical="top" wrapText="1"/>
    </xf>
    <xf borderId="2" fillId="4" fontId="11" numFmtId="0" xfId="0" applyAlignment="1" applyBorder="1" applyFill="1" applyFont="1">
      <alignment horizontal="center" shrinkToFit="0" vertical="top" wrapText="1"/>
    </xf>
    <xf borderId="2" fillId="5" fontId="11" numFmtId="0" xfId="0" applyAlignment="1" applyBorder="1" applyFill="1" applyFont="1">
      <alignment horizontal="center" shrinkToFit="0" vertical="top" wrapText="1"/>
    </xf>
    <xf borderId="2" fillId="6" fontId="11" numFmtId="0" xfId="0" applyAlignment="1" applyBorder="1" applyFill="1" applyFont="1">
      <alignment horizontal="center" shrinkToFit="0" vertical="top" wrapText="1"/>
    </xf>
    <xf borderId="0" fillId="0" fontId="11" numFmtId="0" xfId="0" applyAlignment="1" applyFont="1">
      <alignment shrinkToFit="0" vertical="bottom" wrapText="0"/>
    </xf>
    <xf borderId="0" fillId="0" fontId="7" numFmtId="0" xfId="0" applyAlignment="1" applyFont="1">
      <alignment shrinkToFit="0" vertical="bottom" wrapText="0"/>
    </xf>
    <xf borderId="1" fillId="7" fontId="12" numFmtId="0" xfId="0" applyAlignment="1" applyBorder="1" applyFill="1" applyFont="1">
      <alignment horizontal="center" shrinkToFit="0" vertical="center" wrapText="1"/>
    </xf>
    <xf borderId="2" fillId="0" fontId="11" numFmtId="0" xfId="0" applyAlignment="1" applyBorder="1" applyFont="1">
      <alignment shrinkToFit="0" vertical="top" wrapText="1"/>
    </xf>
    <xf borderId="2" fillId="0"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00.0"/>
    <col customWidth="1" min="3" max="6" width="8.71"/>
  </cols>
  <sheetData>
    <row r="1" ht="15.0" customHeight="1">
      <c r="A1" s="1"/>
      <c r="B1" s="2" t="s">
        <v>0</v>
      </c>
    </row>
    <row r="2" ht="21.0" customHeight="1">
      <c r="A2" s="1"/>
      <c r="B2" s="3" t="s">
        <v>1</v>
      </c>
    </row>
    <row r="3" ht="15.0" customHeight="1">
      <c r="A3" s="1"/>
      <c r="B3" s="4"/>
    </row>
    <row r="4" ht="15.0" customHeight="1">
      <c r="B4" s="5"/>
    </row>
    <row r="5" ht="15.0" customHeight="1">
      <c r="B5" s="6" t="s">
        <v>2</v>
      </c>
    </row>
    <row r="6" ht="15.0" customHeight="1">
      <c r="B6" s="5"/>
    </row>
    <row r="7" ht="15.0" customHeight="1">
      <c r="B7" s="7" t="s">
        <v>3</v>
      </c>
    </row>
    <row r="8" ht="15.0" customHeight="1">
      <c r="B8" s="8" t="s">
        <v>4</v>
      </c>
    </row>
    <row r="9" ht="15.0" customHeight="1">
      <c r="B9" s="9" t="s">
        <v>5</v>
      </c>
    </row>
    <row r="10" ht="15.0" customHeight="1">
      <c r="B10" s="9" t="s">
        <v>6</v>
      </c>
    </row>
    <row r="11" ht="15.0" customHeight="1">
      <c r="B11" s="9" t="s">
        <v>7</v>
      </c>
    </row>
    <row r="12" ht="15.0" customHeight="1">
      <c r="B12" s="5"/>
    </row>
    <row r="13" ht="15.0" customHeight="1">
      <c r="B13" s="8" t="s">
        <v>8</v>
      </c>
    </row>
    <row r="14" ht="15.0" customHeight="1">
      <c r="B14" s="9" t="s">
        <v>9</v>
      </c>
    </row>
    <row r="15" ht="15.0" customHeight="1">
      <c r="B15" s="9" t="s">
        <v>10</v>
      </c>
    </row>
    <row r="16" ht="15.0" customHeight="1">
      <c r="B16" s="9" t="s">
        <v>11</v>
      </c>
    </row>
    <row r="17" ht="15.0" customHeight="1">
      <c r="B17" s="5"/>
    </row>
    <row r="18" ht="15.0" customHeight="1">
      <c r="B18" s="8" t="s">
        <v>12</v>
      </c>
    </row>
    <row r="19" ht="15.0" customHeight="1">
      <c r="B19" s="8" t="s">
        <v>13</v>
      </c>
    </row>
    <row r="20" ht="15.0" customHeight="1">
      <c r="B20" s="9" t="s">
        <v>14</v>
      </c>
    </row>
    <row r="21" ht="15.0" customHeight="1">
      <c r="B21" s="9" t="s">
        <v>15</v>
      </c>
    </row>
    <row r="22" ht="15.0" customHeight="1">
      <c r="B22" s="9" t="s">
        <v>16</v>
      </c>
    </row>
    <row r="23" ht="15.0" customHeight="1">
      <c r="B23" s="9" t="s">
        <v>17</v>
      </c>
    </row>
    <row r="24" ht="24.0" customHeight="1">
      <c r="B24" s="9" t="s">
        <v>18</v>
      </c>
    </row>
    <row r="25" ht="24.0" customHeight="1">
      <c r="B25" s="9" t="s">
        <v>19</v>
      </c>
    </row>
    <row r="26" ht="15.75" customHeight="1"/>
    <row r="27" ht="15.75" customHeight="1">
      <c r="B27" s="10" t="s">
        <v>20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1" t="s">
        <v>21</v>
      </c>
    </row>
    <row r="3">
      <c r="A3" s="12" t="s">
        <v>22</v>
      </c>
    </row>
    <row r="4" ht="30.0" customHeight="1">
      <c r="A4" s="13" t="s">
        <v>23</v>
      </c>
    </row>
    <row r="5" ht="30.0" customHeight="1">
      <c r="A5" s="13" t="s">
        <v>24</v>
      </c>
    </row>
    <row r="6" ht="30.0" customHeight="1">
      <c r="A6" s="13" t="s">
        <v>25</v>
      </c>
    </row>
    <row r="7" ht="30.0" customHeight="1">
      <c r="A7" s="13" t="s">
        <v>26</v>
      </c>
    </row>
    <row r="9">
      <c r="A9" s="12" t="s">
        <v>27</v>
      </c>
    </row>
    <row r="10" ht="30.0" customHeight="1">
      <c r="A10" s="13" t="s">
        <v>28</v>
      </c>
    </row>
    <row r="11" ht="30.0" customHeight="1">
      <c r="A11" s="13" t="s">
        <v>29</v>
      </c>
    </row>
    <row r="12" ht="30.0" customHeight="1">
      <c r="A12" s="13" t="s">
        <v>30</v>
      </c>
    </row>
    <row r="13" ht="30.0" customHeight="1">
      <c r="A13" s="13" t="s">
        <v>31</v>
      </c>
    </row>
    <row r="14" ht="30.0" customHeight="1">
      <c r="A14" s="13" t="s">
        <v>32</v>
      </c>
    </row>
    <row r="15" ht="30.0" customHeight="1">
      <c r="A15" s="13" t="s">
        <v>33</v>
      </c>
    </row>
    <row r="16" ht="30.0" customHeight="1">
      <c r="A16" s="13" t="s">
        <v>34</v>
      </c>
    </row>
    <row r="17" ht="30.0" customHeight="1">
      <c r="A17" s="13" t="s">
        <v>35</v>
      </c>
    </row>
    <row r="18" ht="30.0" customHeight="1">
      <c r="A18" s="13" t="s">
        <v>36</v>
      </c>
    </row>
    <row r="19" ht="30.0" customHeight="1">
      <c r="A19" s="13" t="s">
        <v>37</v>
      </c>
    </row>
    <row r="20" ht="30.0" customHeight="1">
      <c r="A20" s="13" t="s">
        <v>38</v>
      </c>
    </row>
    <row r="21" ht="30.0" customHeight="1">
      <c r="A21" s="13" t="s">
        <v>39</v>
      </c>
    </row>
    <row r="22" ht="15.75" customHeight="1"/>
    <row r="23" ht="15.75" customHeight="1">
      <c r="A23" s="12" t="s">
        <v>40</v>
      </c>
    </row>
    <row r="24" ht="30.0" customHeight="1">
      <c r="A24" s="13" t="s">
        <v>41</v>
      </c>
    </row>
    <row r="25" ht="30.0" customHeight="1">
      <c r="A25" s="13" t="s">
        <v>42</v>
      </c>
    </row>
    <row r="26" ht="30.0" customHeight="1">
      <c r="A26" s="13" t="s">
        <v>43</v>
      </c>
    </row>
    <row r="27" ht="30.0" customHeight="1">
      <c r="A27" s="13" t="s">
        <v>44</v>
      </c>
    </row>
    <row r="28" ht="30.0" customHeight="1">
      <c r="A28" s="13" t="s">
        <v>45</v>
      </c>
    </row>
    <row r="29" ht="15.75" customHeight="1"/>
    <row r="30" ht="23.25" customHeight="1">
      <c r="A30" s="12" t="s">
        <v>46</v>
      </c>
    </row>
    <row r="31" ht="66.0" customHeight="1">
      <c r="A31" s="14" t="s">
        <v>47</v>
      </c>
    </row>
    <row r="32" ht="30.0" customHeight="1">
      <c r="A32" s="14" t="s">
        <v>48</v>
      </c>
    </row>
    <row r="33" ht="47.25" customHeight="1">
      <c r="A33" s="14" t="s">
        <v>49</v>
      </c>
    </row>
    <row r="34" ht="45.0" customHeight="1">
      <c r="A34" s="14" t="s">
        <v>50</v>
      </c>
    </row>
    <row r="35" ht="44.25" customHeight="1">
      <c r="A35" s="13" t="s">
        <v>51</v>
      </c>
    </row>
    <row r="36" ht="15.75" customHeight="1"/>
    <row r="37" ht="15.75" customHeight="1">
      <c r="A37" s="12" t="s">
        <v>52</v>
      </c>
    </row>
    <row r="38" ht="30.0" customHeight="1">
      <c r="A38" s="13" t="s">
        <v>53</v>
      </c>
    </row>
    <row r="39" ht="30.0" customHeight="1">
      <c r="A39" s="13" t="s">
        <v>54</v>
      </c>
    </row>
    <row r="40" ht="30.0" customHeight="1">
      <c r="A40" s="13" t="s">
        <v>55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90.0"/>
    <col customWidth="1" min="4" max="4" width="18.0"/>
    <col customWidth="1" min="5" max="5" width="22.0"/>
    <col customWidth="1" min="6" max="26" width="8.71"/>
  </cols>
  <sheetData>
    <row r="1">
      <c r="A1" s="15" t="s">
        <v>56</v>
      </c>
      <c r="B1" s="15" t="s">
        <v>57</v>
      </c>
      <c r="C1" s="15" t="s">
        <v>58</v>
      </c>
      <c r="D1" s="15" t="s">
        <v>59</v>
      </c>
      <c r="E1" s="15" t="s">
        <v>60</v>
      </c>
    </row>
    <row r="2" ht="45.0" customHeight="1">
      <c r="A2" s="16" t="s">
        <v>61</v>
      </c>
      <c r="B2" s="16" t="s">
        <v>62</v>
      </c>
      <c r="C2" s="17" t="s">
        <v>63</v>
      </c>
      <c r="D2" s="18" t="s">
        <v>64</v>
      </c>
      <c r="E2" s="17" t="s">
        <v>65</v>
      </c>
    </row>
    <row r="3" ht="45.0" customHeight="1">
      <c r="A3" s="16" t="s">
        <v>66</v>
      </c>
      <c r="B3" s="16" t="s">
        <v>62</v>
      </c>
      <c r="C3" s="17" t="s">
        <v>67</v>
      </c>
      <c r="D3" s="19" t="s">
        <v>68</v>
      </c>
      <c r="E3" s="17" t="s">
        <v>66</v>
      </c>
    </row>
    <row r="4" ht="45.0" customHeight="1">
      <c r="A4" s="16" t="s">
        <v>69</v>
      </c>
      <c r="B4" s="16" t="s">
        <v>62</v>
      </c>
      <c r="C4" s="17" t="s">
        <v>70</v>
      </c>
      <c r="D4" s="18" t="s">
        <v>64</v>
      </c>
      <c r="E4" s="17" t="s">
        <v>71</v>
      </c>
    </row>
    <row r="5" ht="45.0" customHeight="1">
      <c r="A5" s="16" t="s">
        <v>71</v>
      </c>
      <c r="B5" s="16" t="s">
        <v>62</v>
      </c>
      <c r="C5" s="17" t="s">
        <v>72</v>
      </c>
      <c r="D5" s="18" t="s">
        <v>64</v>
      </c>
      <c r="E5" s="17" t="s">
        <v>73</v>
      </c>
    </row>
    <row r="6" ht="45.0" customHeight="1">
      <c r="A6" s="16" t="s">
        <v>74</v>
      </c>
      <c r="B6" s="16" t="s">
        <v>62</v>
      </c>
      <c r="C6" s="17" t="s">
        <v>75</v>
      </c>
      <c r="D6" s="19" t="s">
        <v>68</v>
      </c>
      <c r="E6" s="17" t="s">
        <v>76</v>
      </c>
    </row>
    <row r="7" ht="45.0" customHeight="1">
      <c r="A7" s="16" t="s">
        <v>76</v>
      </c>
      <c r="B7" s="16" t="s">
        <v>62</v>
      </c>
      <c r="C7" s="17" t="s">
        <v>77</v>
      </c>
      <c r="D7" s="20" t="s">
        <v>78</v>
      </c>
      <c r="E7" s="17" t="s">
        <v>79</v>
      </c>
    </row>
    <row r="8" ht="45.0" customHeight="1">
      <c r="A8" s="16" t="s">
        <v>79</v>
      </c>
      <c r="B8" s="16" t="s">
        <v>80</v>
      </c>
      <c r="C8" s="17" t="s">
        <v>81</v>
      </c>
      <c r="D8" s="18" t="s">
        <v>64</v>
      </c>
      <c r="E8" s="17" t="s">
        <v>82</v>
      </c>
    </row>
    <row r="9" ht="45.0" customHeight="1">
      <c r="A9" s="16" t="s">
        <v>83</v>
      </c>
      <c r="B9" s="16" t="s">
        <v>80</v>
      </c>
      <c r="C9" s="17" t="s">
        <v>84</v>
      </c>
      <c r="D9" s="18" t="s">
        <v>64</v>
      </c>
      <c r="E9" s="17" t="s">
        <v>85</v>
      </c>
    </row>
    <row r="10" ht="45.0" customHeight="1">
      <c r="A10" s="16" t="s">
        <v>86</v>
      </c>
      <c r="B10" s="16" t="s">
        <v>80</v>
      </c>
      <c r="C10" s="17" t="s">
        <v>87</v>
      </c>
      <c r="D10" s="18" t="s">
        <v>64</v>
      </c>
      <c r="E10" s="17" t="s">
        <v>88</v>
      </c>
    </row>
    <row r="11" ht="45.0" customHeight="1">
      <c r="A11" s="16" t="s">
        <v>88</v>
      </c>
      <c r="B11" s="16" t="s">
        <v>80</v>
      </c>
      <c r="C11" s="17" t="s">
        <v>89</v>
      </c>
      <c r="D11" s="19" t="s">
        <v>68</v>
      </c>
      <c r="E11" s="17" t="s">
        <v>90</v>
      </c>
    </row>
    <row r="12" ht="45.0" customHeight="1">
      <c r="A12" s="16" t="s">
        <v>90</v>
      </c>
      <c r="B12" s="16" t="s">
        <v>80</v>
      </c>
      <c r="C12" s="17" t="s">
        <v>91</v>
      </c>
      <c r="D12" s="19" t="s">
        <v>68</v>
      </c>
      <c r="E12" s="17" t="s">
        <v>92</v>
      </c>
    </row>
    <row r="13" ht="45.0" customHeight="1">
      <c r="A13" s="16" t="s">
        <v>92</v>
      </c>
      <c r="B13" s="16" t="s">
        <v>80</v>
      </c>
      <c r="C13" s="17" t="s">
        <v>93</v>
      </c>
      <c r="D13" s="18" t="s">
        <v>64</v>
      </c>
      <c r="E13" s="17" t="s">
        <v>94</v>
      </c>
    </row>
    <row r="14" ht="45.0" customHeight="1">
      <c r="A14" s="16" t="s">
        <v>94</v>
      </c>
      <c r="B14" s="16" t="s">
        <v>80</v>
      </c>
      <c r="C14" s="17" t="s">
        <v>95</v>
      </c>
      <c r="D14" s="18" t="s">
        <v>64</v>
      </c>
      <c r="E14" s="17" t="s">
        <v>96</v>
      </c>
    </row>
    <row r="15" ht="45.0" customHeight="1">
      <c r="A15" s="16" t="s">
        <v>96</v>
      </c>
      <c r="B15" s="16" t="s">
        <v>80</v>
      </c>
      <c r="C15" s="17" t="s">
        <v>97</v>
      </c>
      <c r="D15" s="18" t="s">
        <v>64</v>
      </c>
      <c r="E15" s="17" t="s">
        <v>98</v>
      </c>
    </row>
    <row r="16" ht="45.0" customHeight="1">
      <c r="A16" s="16" t="s">
        <v>99</v>
      </c>
      <c r="B16" s="16" t="s">
        <v>80</v>
      </c>
      <c r="C16" s="17" t="s">
        <v>100</v>
      </c>
      <c r="D16" s="19" t="s">
        <v>68</v>
      </c>
      <c r="E16" s="17" t="s">
        <v>101</v>
      </c>
    </row>
    <row r="17" ht="45.0" customHeight="1">
      <c r="A17" s="16" t="s">
        <v>102</v>
      </c>
      <c r="B17" s="16" t="s">
        <v>103</v>
      </c>
      <c r="C17" s="17" t="s">
        <v>104</v>
      </c>
      <c r="D17" s="18" t="s">
        <v>64</v>
      </c>
      <c r="E17" s="17" t="s">
        <v>102</v>
      </c>
    </row>
    <row r="18" ht="45.0" customHeight="1">
      <c r="A18" s="16" t="s">
        <v>105</v>
      </c>
      <c r="B18" s="16" t="s">
        <v>103</v>
      </c>
      <c r="C18" s="17" t="s">
        <v>106</v>
      </c>
      <c r="D18" s="18" t="s">
        <v>64</v>
      </c>
      <c r="E18" s="17" t="s">
        <v>107</v>
      </c>
    </row>
    <row r="19" ht="45.0" customHeight="1">
      <c r="A19" s="16" t="s">
        <v>108</v>
      </c>
      <c r="B19" s="16" t="s">
        <v>103</v>
      </c>
      <c r="C19" s="17" t="s">
        <v>109</v>
      </c>
      <c r="D19" s="18" t="s">
        <v>64</v>
      </c>
      <c r="E19" s="17" t="s">
        <v>110</v>
      </c>
    </row>
    <row r="20" ht="45.0" customHeight="1">
      <c r="A20" s="16" t="s">
        <v>111</v>
      </c>
      <c r="B20" s="16" t="s">
        <v>112</v>
      </c>
      <c r="C20" s="17" t="s">
        <v>113</v>
      </c>
      <c r="D20" s="18" t="s">
        <v>64</v>
      </c>
      <c r="E20" s="17" t="s">
        <v>114</v>
      </c>
    </row>
    <row r="21" ht="45.0" customHeight="1">
      <c r="A21" s="16" t="s">
        <v>115</v>
      </c>
      <c r="B21" s="16" t="s">
        <v>112</v>
      </c>
      <c r="C21" s="17" t="s">
        <v>116</v>
      </c>
      <c r="D21" s="19" t="s">
        <v>68</v>
      </c>
      <c r="E21" s="17" t="s">
        <v>117</v>
      </c>
    </row>
    <row r="22" ht="45.0" customHeight="1">
      <c r="A22" s="16" t="s">
        <v>118</v>
      </c>
      <c r="B22" s="16" t="s">
        <v>112</v>
      </c>
      <c r="C22" s="17" t="s">
        <v>119</v>
      </c>
      <c r="D22" s="18" t="s">
        <v>64</v>
      </c>
      <c r="E22" s="17" t="s">
        <v>120</v>
      </c>
    </row>
    <row r="23" ht="45.0" customHeight="1">
      <c r="A23" s="16" t="s">
        <v>121</v>
      </c>
      <c r="B23" s="16" t="s">
        <v>122</v>
      </c>
      <c r="C23" s="17" t="s">
        <v>123</v>
      </c>
      <c r="D23" s="18" t="s">
        <v>64</v>
      </c>
      <c r="E23" s="17" t="s">
        <v>124</v>
      </c>
    </row>
    <row r="24" ht="45.0" customHeight="1">
      <c r="A24" s="16" t="s">
        <v>125</v>
      </c>
      <c r="B24" s="16" t="s">
        <v>122</v>
      </c>
      <c r="C24" s="17" t="s">
        <v>126</v>
      </c>
      <c r="D24" s="19" t="s">
        <v>68</v>
      </c>
      <c r="E24" s="17" t="s">
        <v>105</v>
      </c>
    </row>
    <row r="25" ht="45.0" customHeight="1">
      <c r="A25" s="16" t="s">
        <v>127</v>
      </c>
      <c r="B25" s="16" t="s">
        <v>122</v>
      </c>
      <c r="C25" s="17" t="s">
        <v>128</v>
      </c>
      <c r="D25" s="19" t="s">
        <v>68</v>
      </c>
      <c r="E25" s="17" t="s">
        <v>129</v>
      </c>
    </row>
    <row r="26" ht="45.0" customHeight="1">
      <c r="A26" s="16" t="s">
        <v>130</v>
      </c>
      <c r="B26" s="16" t="s">
        <v>131</v>
      </c>
      <c r="C26" s="17" t="s">
        <v>132</v>
      </c>
      <c r="D26" s="20" t="s">
        <v>78</v>
      </c>
      <c r="E26" s="17" t="s">
        <v>133</v>
      </c>
    </row>
    <row r="27" ht="45.0" customHeight="1">
      <c r="A27" s="16" t="s">
        <v>134</v>
      </c>
      <c r="B27" s="16" t="s">
        <v>135</v>
      </c>
      <c r="C27" s="17" t="s">
        <v>136</v>
      </c>
      <c r="D27" s="18" t="s">
        <v>64</v>
      </c>
      <c r="E27" s="17" t="s">
        <v>137</v>
      </c>
    </row>
    <row r="28" ht="45.0" customHeight="1">
      <c r="A28" s="16" t="s">
        <v>138</v>
      </c>
      <c r="B28" s="16" t="s">
        <v>139</v>
      </c>
      <c r="C28" s="17" t="s">
        <v>140</v>
      </c>
      <c r="D28" s="20" t="s">
        <v>78</v>
      </c>
      <c r="E28" s="17" t="s">
        <v>141</v>
      </c>
    </row>
    <row r="29" ht="45.0" customHeight="1">
      <c r="A29" s="16" t="s">
        <v>142</v>
      </c>
      <c r="B29" s="16" t="s">
        <v>143</v>
      </c>
      <c r="C29" s="17" t="s">
        <v>144</v>
      </c>
      <c r="D29" s="18" t="s">
        <v>64</v>
      </c>
      <c r="E29" s="17" t="s">
        <v>145</v>
      </c>
    </row>
    <row r="30" ht="45.0" customHeight="1">
      <c r="A30" s="16" t="s">
        <v>146</v>
      </c>
      <c r="B30" s="16" t="s">
        <v>143</v>
      </c>
      <c r="C30" s="17" t="s">
        <v>147</v>
      </c>
      <c r="D30" s="18" t="s">
        <v>64</v>
      </c>
      <c r="E30" s="17" t="s">
        <v>148</v>
      </c>
    </row>
    <row r="31" ht="45.0" customHeight="1">
      <c r="A31" s="16" t="s">
        <v>137</v>
      </c>
      <c r="B31" s="16" t="s">
        <v>149</v>
      </c>
      <c r="C31" s="17" t="s">
        <v>150</v>
      </c>
      <c r="D31" s="18" t="s">
        <v>64</v>
      </c>
      <c r="E31" s="17" t="s">
        <v>151</v>
      </c>
    </row>
    <row r="32" ht="45.0" customHeight="1">
      <c r="A32" s="16" t="s">
        <v>141</v>
      </c>
      <c r="B32" s="16" t="s">
        <v>149</v>
      </c>
      <c r="C32" s="17" t="s">
        <v>152</v>
      </c>
      <c r="D32" s="18" t="s">
        <v>64</v>
      </c>
      <c r="E32" s="17" t="s">
        <v>153</v>
      </c>
    </row>
    <row r="33" ht="45.0" customHeight="1">
      <c r="A33" s="16" t="s">
        <v>154</v>
      </c>
      <c r="B33" s="16" t="s">
        <v>149</v>
      </c>
      <c r="C33" s="17" t="s">
        <v>155</v>
      </c>
      <c r="D33" s="18" t="s">
        <v>64</v>
      </c>
      <c r="E33" s="17" t="s">
        <v>156</v>
      </c>
    </row>
    <row r="34" ht="45.0" customHeight="1">
      <c r="A34" s="16" t="s">
        <v>157</v>
      </c>
      <c r="B34" s="16" t="s">
        <v>158</v>
      </c>
      <c r="C34" s="17" t="s">
        <v>159</v>
      </c>
      <c r="D34" s="18" t="s">
        <v>64</v>
      </c>
      <c r="E34" s="17" t="s">
        <v>160</v>
      </c>
    </row>
    <row r="35" ht="15.75" customHeight="1"/>
    <row r="36" ht="15.75" customHeight="1">
      <c r="A36" s="12" t="s">
        <v>161</v>
      </c>
    </row>
    <row r="37" ht="15.75" customHeight="1">
      <c r="A37" s="21" t="s">
        <v>64</v>
      </c>
      <c r="B37" s="22">
        <f>COUNTIF(D2:D35,"Must")</f>
        <v>22</v>
      </c>
    </row>
    <row r="38" ht="15.75" customHeight="1">
      <c r="A38" s="21" t="s">
        <v>68</v>
      </c>
      <c r="B38" s="22">
        <f>COUNTIF(D2:D35,"Should")</f>
        <v>8</v>
      </c>
    </row>
    <row r="39" ht="15.75" customHeight="1">
      <c r="A39" s="21" t="s">
        <v>78</v>
      </c>
      <c r="B39" s="22">
        <f>COUNTIF(D2:D35,"Could")</f>
        <v>3</v>
      </c>
    </row>
    <row r="40" ht="15.75" customHeight="1">
      <c r="A40" s="21" t="s">
        <v>162</v>
      </c>
      <c r="B40" s="21">
        <f>COUNTA(A2:A35)</f>
        <v>33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90.0"/>
    <col customWidth="1" min="4" max="4" width="18.0"/>
    <col customWidth="1" min="5" max="5" width="22.0"/>
    <col customWidth="1" min="6" max="26" width="8.71"/>
  </cols>
  <sheetData>
    <row r="1">
      <c r="A1" s="15" t="s">
        <v>56</v>
      </c>
      <c r="B1" s="15" t="s">
        <v>57</v>
      </c>
      <c r="C1" s="15" t="s">
        <v>58</v>
      </c>
      <c r="D1" s="15" t="s">
        <v>59</v>
      </c>
      <c r="E1" s="15" t="s">
        <v>60</v>
      </c>
    </row>
    <row r="2" ht="45.0" customHeight="1">
      <c r="A2" s="16" t="s">
        <v>163</v>
      </c>
      <c r="B2" s="16" t="s">
        <v>164</v>
      </c>
      <c r="C2" s="17" t="s">
        <v>165</v>
      </c>
      <c r="D2" s="18" t="s">
        <v>64</v>
      </c>
      <c r="E2" s="17" t="s">
        <v>166</v>
      </c>
    </row>
    <row r="3" ht="45.0" customHeight="1">
      <c r="A3" s="16" t="s">
        <v>167</v>
      </c>
      <c r="B3" s="16" t="s">
        <v>164</v>
      </c>
      <c r="C3" s="17" t="s">
        <v>168</v>
      </c>
      <c r="D3" s="18" t="s">
        <v>64</v>
      </c>
      <c r="E3" s="17" t="s">
        <v>169</v>
      </c>
    </row>
    <row r="4" ht="45.0" customHeight="1">
      <c r="A4" s="16" t="s">
        <v>169</v>
      </c>
      <c r="B4" s="16" t="s">
        <v>164</v>
      </c>
      <c r="C4" s="17" t="s">
        <v>170</v>
      </c>
      <c r="D4" s="19" t="s">
        <v>68</v>
      </c>
      <c r="E4" s="17" t="s">
        <v>171</v>
      </c>
    </row>
    <row r="5" ht="45.0" customHeight="1">
      <c r="A5" s="16" t="s">
        <v>172</v>
      </c>
      <c r="B5" s="16" t="s">
        <v>173</v>
      </c>
      <c r="C5" s="17" t="s">
        <v>174</v>
      </c>
      <c r="D5" s="18" t="s">
        <v>64</v>
      </c>
      <c r="E5" s="17" t="s">
        <v>175</v>
      </c>
    </row>
    <row r="6" ht="45.0" customHeight="1">
      <c r="A6" s="16" t="s">
        <v>176</v>
      </c>
      <c r="B6" s="16" t="s">
        <v>173</v>
      </c>
      <c r="C6" s="17" t="s">
        <v>177</v>
      </c>
      <c r="D6" s="18" t="s">
        <v>64</v>
      </c>
      <c r="E6" s="17" t="s">
        <v>178</v>
      </c>
    </row>
    <row r="7" ht="45.0" customHeight="1">
      <c r="A7" s="16" t="s">
        <v>175</v>
      </c>
      <c r="B7" s="16" t="s">
        <v>173</v>
      </c>
      <c r="C7" s="17" t="s">
        <v>179</v>
      </c>
      <c r="D7" s="18" t="s">
        <v>64</v>
      </c>
      <c r="E7" s="17" t="s">
        <v>180</v>
      </c>
    </row>
    <row r="8" ht="45.0" customHeight="1">
      <c r="A8" s="16" t="s">
        <v>178</v>
      </c>
      <c r="B8" s="16" t="s">
        <v>173</v>
      </c>
      <c r="C8" s="17" t="s">
        <v>181</v>
      </c>
      <c r="D8" s="19" t="s">
        <v>68</v>
      </c>
      <c r="E8" s="17" t="s">
        <v>182</v>
      </c>
    </row>
    <row r="9" ht="45.0" customHeight="1">
      <c r="A9" s="16" t="s">
        <v>180</v>
      </c>
      <c r="B9" s="16" t="s">
        <v>173</v>
      </c>
      <c r="C9" s="17" t="s">
        <v>183</v>
      </c>
      <c r="D9" s="18" t="s">
        <v>64</v>
      </c>
      <c r="E9" s="17" t="s">
        <v>184</v>
      </c>
    </row>
    <row r="10" ht="45.0" customHeight="1">
      <c r="A10" s="16" t="s">
        <v>182</v>
      </c>
      <c r="B10" s="16" t="s">
        <v>185</v>
      </c>
      <c r="C10" s="17" t="s">
        <v>186</v>
      </c>
      <c r="D10" s="18" t="s">
        <v>64</v>
      </c>
      <c r="E10" s="17" t="s">
        <v>187</v>
      </c>
    </row>
    <row r="11" ht="45.0" customHeight="1">
      <c r="A11" s="16" t="s">
        <v>184</v>
      </c>
      <c r="B11" s="16" t="s">
        <v>185</v>
      </c>
      <c r="C11" s="17" t="s">
        <v>188</v>
      </c>
      <c r="D11" s="18" t="s">
        <v>64</v>
      </c>
      <c r="E11" s="17" t="s">
        <v>189</v>
      </c>
    </row>
    <row r="12" ht="45.0" customHeight="1">
      <c r="A12" s="16" t="s">
        <v>187</v>
      </c>
      <c r="B12" s="16" t="s">
        <v>190</v>
      </c>
      <c r="C12" s="17" t="s">
        <v>191</v>
      </c>
      <c r="D12" s="18" t="s">
        <v>64</v>
      </c>
      <c r="E12" s="17" t="s">
        <v>192</v>
      </c>
    </row>
    <row r="13" ht="45.0" customHeight="1">
      <c r="A13" s="16" t="s">
        <v>189</v>
      </c>
      <c r="B13" s="16" t="s">
        <v>190</v>
      </c>
      <c r="C13" s="17" t="s">
        <v>193</v>
      </c>
      <c r="D13" s="19" t="s">
        <v>68</v>
      </c>
      <c r="E13" s="17" t="s">
        <v>194</v>
      </c>
    </row>
    <row r="14" ht="45.0" customHeight="1">
      <c r="A14" s="16" t="s">
        <v>195</v>
      </c>
      <c r="B14" s="16" t="s">
        <v>196</v>
      </c>
      <c r="C14" s="17" t="s">
        <v>197</v>
      </c>
      <c r="D14" s="19" t="s">
        <v>68</v>
      </c>
      <c r="E14" s="17" t="s">
        <v>198</v>
      </c>
    </row>
    <row r="15" ht="45.0" customHeight="1">
      <c r="A15" s="16" t="s">
        <v>194</v>
      </c>
      <c r="B15" s="16" t="s">
        <v>196</v>
      </c>
      <c r="C15" s="17" t="s">
        <v>199</v>
      </c>
      <c r="D15" s="18" t="s">
        <v>64</v>
      </c>
      <c r="E15" s="17" t="s">
        <v>200</v>
      </c>
    </row>
    <row r="16" ht="45.0" customHeight="1">
      <c r="A16" s="16" t="s">
        <v>201</v>
      </c>
      <c r="B16" s="16" t="s">
        <v>196</v>
      </c>
      <c r="C16" s="17" t="s">
        <v>202</v>
      </c>
      <c r="D16" s="18" t="s">
        <v>64</v>
      </c>
      <c r="E16" s="17" t="s">
        <v>203</v>
      </c>
    </row>
    <row r="17" ht="45.0" customHeight="1">
      <c r="A17" s="16" t="s">
        <v>204</v>
      </c>
      <c r="B17" s="16" t="s">
        <v>196</v>
      </c>
      <c r="C17" s="17" t="s">
        <v>205</v>
      </c>
      <c r="D17" s="18" t="s">
        <v>64</v>
      </c>
      <c r="E17" s="17" t="s">
        <v>206</v>
      </c>
    </row>
    <row r="18" ht="45.0" customHeight="1">
      <c r="A18" s="16" t="s">
        <v>207</v>
      </c>
      <c r="B18" s="16" t="s">
        <v>196</v>
      </c>
      <c r="C18" s="17" t="s">
        <v>208</v>
      </c>
      <c r="D18" s="18" t="s">
        <v>64</v>
      </c>
      <c r="E18" s="17" t="s">
        <v>209</v>
      </c>
    </row>
    <row r="19" ht="45.0" customHeight="1">
      <c r="A19" s="16" t="s">
        <v>210</v>
      </c>
      <c r="B19" s="16" t="s">
        <v>211</v>
      </c>
      <c r="C19" s="17" t="s">
        <v>212</v>
      </c>
      <c r="D19" s="19" t="s">
        <v>68</v>
      </c>
      <c r="E19" s="17" t="s">
        <v>204</v>
      </c>
    </row>
    <row r="20" ht="45.0" customHeight="1">
      <c r="A20" s="16" t="s">
        <v>203</v>
      </c>
      <c r="B20" s="16" t="s">
        <v>211</v>
      </c>
      <c r="C20" s="17" t="s">
        <v>213</v>
      </c>
      <c r="D20" s="18" t="s">
        <v>64</v>
      </c>
      <c r="E20" s="17" t="s">
        <v>207</v>
      </c>
    </row>
    <row r="21" ht="45.0" customHeight="1">
      <c r="A21" s="16" t="s">
        <v>206</v>
      </c>
      <c r="B21" s="16" t="s">
        <v>211</v>
      </c>
      <c r="C21" s="17" t="s">
        <v>214</v>
      </c>
      <c r="D21" s="19" t="s">
        <v>68</v>
      </c>
      <c r="E21" s="17" t="s">
        <v>215</v>
      </c>
    </row>
    <row r="22" ht="45.0" customHeight="1">
      <c r="A22" s="16" t="s">
        <v>209</v>
      </c>
      <c r="B22" s="16" t="s">
        <v>216</v>
      </c>
      <c r="C22" s="17" t="s">
        <v>217</v>
      </c>
      <c r="D22" s="18" t="s">
        <v>64</v>
      </c>
      <c r="E22" s="17" t="s">
        <v>218</v>
      </c>
    </row>
    <row r="23" ht="45.0" customHeight="1">
      <c r="A23" s="16" t="s">
        <v>219</v>
      </c>
      <c r="B23" s="16" t="s">
        <v>216</v>
      </c>
      <c r="C23" s="17" t="s">
        <v>220</v>
      </c>
      <c r="D23" s="18" t="s">
        <v>64</v>
      </c>
      <c r="E23" s="17" t="s">
        <v>221</v>
      </c>
    </row>
    <row r="24" ht="15.75" customHeight="1"/>
    <row r="25" ht="15.75" customHeight="1">
      <c r="A25" s="12" t="s">
        <v>161</v>
      </c>
    </row>
    <row r="26" ht="15.75" customHeight="1">
      <c r="A26" s="21" t="s">
        <v>64</v>
      </c>
      <c r="B26" s="22">
        <f>COUNTIF(D2:D24,"Must")</f>
        <v>16</v>
      </c>
    </row>
    <row r="27" ht="15.75" customHeight="1">
      <c r="A27" s="21" t="s">
        <v>68</v>
      </c>
      <c r="B27" s="22">
        <f>COUNTIF(D2:D24,"Should")</f>
        <v>6</v>
      </c>
    </row>
    <row r="28" ht="15.75" customHeight="1">
      <c r="A28" s="21" t="s">
        <v>78</v>
      </c>
      <c r="B28" s="22">
        <f>COUNTIF(D2:D24,"Could")</f>
        <v>0</v>
      </c>
    </row>
    <row r="29" ht="15.75" customHeight="1">
      <c r="A29" s="21" t="s">
        <v>162</v>
      </c>
      <c r="B29" s="21">
        <f>COUNTA(A2:A24)</f>
        <v>22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4.0"/>
    <col customWidth="1" min="3" max="3" width="95.0"/>
    <col customWidth="1" min="4" max="6" width="9.14"/>
  </cols>
  <sheetData>
    <row r="1" ht="15.0" customHeight="1">
      <c r="A1" s="23" t="s">
        <v>222</v>
      </c>
      <c r="B1" s="23" t="s">
        <v>223</v>
      </c>
      <c r="C1" s="23" t="s">
        <v>224</v>
      </c>
    </row>
    <row r="2" ht="15.0" customHeight="1">
      <c r="A2" s="5" t="s">
        <v>225</v>
      </c>
      <c r="B2" s="5" t="s">
        <v>226</v>
      </c>
      <c r="C2" s="5" t="s">
        <v>227</v>
      </c>
    </row>
    <row r="3" ht="26.25" customHeight="1">
      <c r="A3" s="5" t="s">
        <v>228</v>
      </c>
      <c r="B3" s="5" t="s">
        <v>229</v>
      </c>
      <c r="C3" s="5" t="s">
        <v>230</v>
      </c>
    </row>
    <row r="4" ht="26.25" customHeight="1">
      <c r="A4" s="5" t="s">
        <v>231</v>
      </c>
      <c r="B4" s="5" t="s">
        <v>232</v>
      </c>
      <c r="C4" s="5" t="s">
        <v>233</v>
      </c>
    </row>
    <row r="5" ht="26.25" customHeight="1">
      <c r="A5" s="5" t="s">
        <v>234</v>
      </c>
      <c r="B5" s="5" t="s">
        <v>235</v>
      </c>
      <c r="C5" s="5" t="s">
        <v>236</v>
      </c>
    </row>
    <row r="6" ht="15.0" customHeight="1">
      <c r="A6" s="5" t="s">
        <v>237</v>
      </c>
      <c r="B6" s="5" t="s">
        <v>238</v>
      </c>
      <c r="C6" s="5" t="s">
        <v>239</v>
      </c>
    </row>
    <row r="7" ht="26.25" customHeight="1">
      <c r="A7" s="5" t="s">
        <v>240</v>
      </c>
      <c r="B7" s="5" t="s">
        <v>241</v>
      </c>
      <c r="C7" s="5" t="s">
        <v>242</v>
      </c>
    </row>
    <row r="8" ht="26.25" customHeight="1">
      <c r="A8" s="5"/>
      <c r="B8" s="5"/>
      <c r="C8" s="5"/>
    </row>
    <row r="9" ht="26.25" customHeight="1">
      <c r="A9" s="5"/>
      <c r="B9" s="5"/>
      <c r="C9" s="5"/>
    </row>
    <row r="10" ht="15.0" customHeight="1">
      <c r="A10" s="23" t="s">
        <v>243</v>
      </c>
      <c r="B10" s="23" t="s">
        <v>244</v>
      </c>
      <c r="C10" s="23" t="s">
        <v>58</v>
      </c>
    </row>
    <row r="11" ht="15.0" customHeight="1">
      <c r="A11" s="23" t="s">
        <v>245</v>
      </c>
      <c r="B11" s="23" t="s">
        <v>246</v>
      </c>
      <c r="C11" s="23" t="s">
        <v>247</v>
      </c>
    </row>
    <row r="12" ht="26.25" customHeight="1">
      <c r="A12" s="5" t="s">
        <v>248</v>
      </c>
      <c r="B12" s="5" t="s">
        <v>249</v>
      </c>
      <c r="C12" s="5" t="s">
        <v>250</v>
      </c>
    </row>
    <row r="13" ht="26.25" customHeight="1">
      <c r="A13" s="5" t="s">
        <v>251</v>
      </c>
      <c r="B13" s="5" t="s">
        <v>252</v>
      </c>
      <c r="C13" s="5" t="s">
        <v>253</v>
      </c>
    </row>
    <row r="14" ht="26.25" customHeight="1">
      <c r="A14" s="5" t="s">
        <v>254</v>
      </c>
      <c r="B14" s="5" t="s">
        <v>255</v>
      </c>
      <c r="C14" s="5" t="s">
        <v>256</v>
      </c>
    </row>
    <row r="15" ht="15.0" customHeight="1">
      <c r="A15" s="5" t="s">
        <v>257</v>
      </c>
      <c r="B15" s="5" t="s">
        <v>258</v>
      </c>
      <c r="C15" s="5" t="s">
        <v>259</v>
      </c>
    </row>
    <row r="16" ht="15.0" customHeight="1">
      <c r="A16" s="5"/>
      <c r="B16" s="5"/>
      <c r="C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2.0"/>
    <col customWidth="1" min="2" max="3" width="55.0"/>
    <col customWidth="1" min="4" max="26" width="8.71"/>
  </cols>
  <sheetData>
    <row r="1">
      <c r="A1" s="15" t="s">
        <v>260</v>
      </c>
      <c r="B1" s="15" t="s">
        <v>261</v>
      </c>
      <c r="C1" s="15" t="s">
        <v>262</v>
      </c>
    </row>
    <row r="2" ht="39.75" customHeight="1">
      <c r="A2" s="24" t="s">
        <v>62</v>
      </c>
      <c r="B2" s="17" t="s">
        <v>263</v>
      </c>
      <c r="C2" s="17" t="s">
        <v>264</v>
      </c>
    </row>
    <row r="3" ht="39.75" customHeight="1">
      <c r="A3" s="24" t="s">
        <v>80</v>
      </c>
      <c r="B3" s="17" t="s">
        <v>265</v>
      </c>
      <c r="C3" s="17" t="s">
        <v>266</v>
      </c>
    </row>
    <row r="4" ht="39.75" customHeight="1">
      <c r="A4" s="24" t="s">
        <v>103</v>
      </c>
      <c r="B4" s="17" t="s">
        <v>267</v>
      </c>
      <c r="C4" s="17" t="s">
        <v>266</v>
      </c>
    </row>
    <row r="5" ht="39.75" customHeight="1">
      <c r="A5" s="24" t="s">
        <v>112</v>
      </c>
      <c r="B5" s="17" t="s">
        <v>268</v>
      </c>
      <c r="C5" s="17" t="s">
        <v>266</v>
      </c>
    </row>
    <row r="6" ht="39.75" customHeight="1">
      <c r="A6" s="24" t="s">
        <v>122</v>
      </c>
      <c r="B6" s="17" t="s">
        <v>269</v>
      </c>
      <c r="C6" s="17" t="s">
        <v>266</v>
      </c>
    </row>
    <row r="7" ht="39.75" customHeight="1">
      <c r="A7" s="24" t="s">
        <v>131</v>
      </c>
      <c r="B7" s="17" t="s">
        <v>270</v>
      </c>
      <c r="C7" s="25" t="s">
        <v>271</v>
      </c>
    </row>
    <row r="8" ht="39.75" customHeight="1">
      <c r="A8" s="24" t="s">
        <v>135</v>
      </c>
      <c r="B8" s="17" t="s">
        <v>272</v>
      </c>
      <c r="C8" s="17" t="s">
        <v>266</v>
      </c>
    </row>
    <row r="9" ht="39.75" customHeight="1">
      <c r="A9" s="24" t="s">
        <v>139</v>
      </c>
      <c r="B9" s="17" t="s">
        <v>273</v>
      </c>
      <c r="C9" s="25" t="s">
        <v>274</v>
      </c>
    </row>
    <row r="10" ht="39.75" customHeight="1">
      <c r="A10" s="24" t="s">
        <v>143</v>
      </c>
      <c r="B10" s="17" t="s">
        <v>275</v>
      </c>
      <c r="C10" s="25" t="s">
        <v>276</v>
      </c>
    </row>
    <row r="11" ht="39.75" customHeight="1">
      <c r="A11" s="24" t="s">
        <v>149</v>
      </c>
      <c r="B11" s="17" t="s">
        <v>277</v>
      </c>
      <c r="C11" s="25" t="s">
        <v>278</v>
      </c>
    </row>
    <row r="12" ht="39.75" customHeight="1">
      <c r="A12" s="24" t="s">
        <v>158</v>
      </c>
      <c r="B12" s="17" t="s">
        <v>279</v>
      </c>
      <c r="C12" s="17"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2026-09-11T01:44:13Z</dcterms:created>
  <dc:creator>JhonnyBoy</dc:creator>
</cp:coreProperties>
</file>

<file path=docProps/custom.xml><?xml version="1.0" encoding="utf-8"?>
<Properties xmlns="http://schemas.openxmlformats.org/officeDocument/2006/custom-properties" xmlns:vt="http://schemas.openxmlformats.org/officeDocument/2006/docPropsVTypes"/>
</file>