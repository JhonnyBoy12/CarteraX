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odología" sheetId="1" state="visible" r:id="rId3"/>
    <sheet name="Registro de Riesgos" sheetId="2" state="visible" r:id="rId4"/>
    <sheet name="Mapa de Calor" sheetId="3" state="visible" r:id="rId5"/>
    <sheet name="Cambios v2" sheetId="4" state="visible" r:id="rId6"/>
  </sheets>
  <definedNames>
    <definedName function="false" hidden="true" localSheetId="1" name="_xlnm._FilterDatabase" vbProcedure="false">'Registro de Riesgos'!$A$3:$O$28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<sst xmlns="http://schemas.openxmlformats.org/spreadsheetml/2006/main" count="516" uniqueCount="416">
  <si>
    <t xml:space="preserve">MATRIZ DE RIESGOS — PROYECTO CarteraX</t>
  </si>
  <si>
    <t xml:space="preserve">Phoenix Service (Santander Consumer Finance Chile) · Duoc UC — Evaluación de Proyectos, Sección 005D</t>
  </si>
  <si>
    <t xml:space="preserve">Proyecto</t>
  </si>
  <si>
    <t xml:space="preserve">CarteraX – Sistema de gestión de cartera para Phoenix Service</t>
  </si>
  <si>
    <t xml:space="preserve">Preparado por</t>
  </si>
  <si>
    <t xml:space="preserve">Diego Cruz Medina, Jhonny Silva, Cristóbal Irarrázabal</t>
  </si>
  <si>
    <t xml:space="preserve">Docente / Supervisor académico</t>
  </si>
  <si>
    <t xml:space="preserve">Juan Alberto Ganna</t>
  </si>
  <si>
    <t xml:space="preserve">Fecha</t>
  </si>
  <si>
    <t xml:space="preserve">16-10-2026 (v2.0 — actualización con ERS v2; versión anterior: 03-09-2026)</t>
  </si>
  <si>
    <t xml:space="preserve">Fuentes</t>
  </si>
  <si>
    <t xml:space="preserve">Acta de Constitución v1.1, EDT CarteraX, ERS Phoenix CarteraX v2 — Consolidado (33 RF + 22 RNF), Plan de Pruebas CarteraX v1.1</t>
  </si>
  <si>
    <t xml:space="preserve">1. Metodología de análisis de riesgos</t>
  </si>
  <si>
    <t xml:space="preserve">Se aplicó un análisis cualitativo de riesgos (enfoque PMBOK) mediante una matriz Probabilidad × Impacto de escala 1 a 5. Cada riesgo identificado se evaluó según: (a) qué tan probable es que ocurra durante el desarrollo del proyecto, y (b) qué tan grave sería su efecto sobre el alcance, el cronograma, la calidad del sistema o la evaluación académica. El Nivel de Riesgo resulta de multiplicar ambos valores (Probabilidad × Impacto).</t>
  </si>
  <si>
    <t xml:space="preserve">Valor</t>
  </si>
  <si>
    <t xml:space="preserve">Probabilidad</t>
  </si>
  <si>
    <t xml:space="preserve">Impacto</t>
  </si>
  <si>
    <t xml:space="preserve">Muy poco probable (&lt;10%)</t>
  </si>
  <si>
    <t xml:space="preserve">Insignificante: no afecta alcance, plazo ni calidad</t>
  </si>
  <si>
    <t xml:space="preserve">Poco probable (10-30%)</t>
  </si>
  <si>
    <t xml:space="preserve">Menor: afecta levemente, se resuelve con esfuerzo normal</t>
  </si>
  <si>
    <t xml:space="preserve">Posible (30-50%)</t>
  </si>
  <si>
    <t xml:space="preserve">Moderado: afecta un módulo o hito puntual</t>
  </si>
  <si>
    <t xml:space="preserve">Probable (50-70%)</t>
  </si>
  <si>
    <t xml:space="preserve">Mayor: afecta el cronograma general o un entregable clave</t>
  </si>
  <si>
    <t xml:space="preserve">Muy probable (&gt;70%)</t>
  </si>
  <si>
    <t xml:space="preserve">Crítico: pone en riesgo el cumplimiento del proyecto o su aprobación académica</t>
  </si>
  <si>
    <t xml:space="preserve">2. Niveles de riesgo resultantes</t>
  </si>
  <si>
    <t xml:space="preserve">Rango (P×I)</t>
  </si>
  <si>
    <t xml:space="preserve">Nivel</t>
  </si>
  <si>
    <t xml:space="preserve">Respuesta esperada</t>
  </si>
  <si>
    <t xml:space="preserve">1 – 4</t>
  </si>
  <si>
    <t xml:space="preserve">Bajo</t>
  </si>
  <si>
    <t xml:space="preserve">Aceptar y monitorear; no requiere plan de acción inmediato.</t>
  </si>
  <si>
    <t xml:space="preserve">5 – 9</t>
  </si>
  <si>
    <t xml:space="preserve">Moderado</t>
  </si>
  <si>
    <t xml:space="preserve">Mitigar con acciones planificadas dentro del cronograma normal.</t>
  </si>
  <si>
    <t xml:space="preserve">10 – 15</t>
  </si>
  <si>
    <t xml:space="preserve">Alto</t>
  </si>
  <si>
    <t xml:space="preserve">Mitigar de forma prioritaria; asignar responsable y disparador de alerta.</t>
  </si>
  <si>
    <t xml:space="preserve">16 – 25</t>
  </si>
  <si>
    <t xml:space="preserve">Crítico</t>
  </si>
  <si>
    <t xml:space="preserve">Requiere acción inmediata y visibilidad del Project Lead / docente.</t>
  </si>
  <si>
    <t xml:space="preserve">3. Trazabilidad y criterio de identificación</t>
  </si>
  <si>
    <t xml:space="preserve">Los riesgos de esta matriz provienen de tres fuentes cruzadas: los riesgos iniciales y de alcance declarados en el Acta de Constitución v1.1, los riesgos asociados a cada fase del EDT, y los riesgos técnicos y de negocio que emergen directamente de las decisiones de diseño documentadas en el ERS v2 (motor de mapeo de columnas, clasificación por palabras clave, motor de scoring, comunicación Desktop–Mobile, cola de llamadas y manejo de datos sensibles). Cada riesgo indica su columna 'Fuente' para mantener esa trazabilidad, y su 'Responsable' se asignó de forma coherente con la Matriz RACI; los riesgos de Phoenix Mobile aún no tienen responsable Android confirmado (ver R-20).</t>
  </si>
  <si>
    <t xml:space="preserve">4. Contenido de este archivo</t>
  </si>
  <si>
    <t xml:space="preserve">•  Hoja "Registro de Riesgos": los 25 riesgos activos (R-01 a R-04 y R-06 a R-26) y 1 riesgo cerrado (R-05), con causa, probabilidad, impacto, nivel (calculado), estrategia, mitigación, responsable, disparador de alerta, estado en v2 y casos de prueba asociados.</t>
  </si>
  <si>
    <t xml:space="preserve">•  Hoja "Mapa de Calor": grilla Probabilidad × Impacto (5×5), conteo de riesgos activos por nivel y por celda, y referencia rápida de IDs (se actualizan solas desde el Registro).</t>
  </si>
  <si>
    <t xml:space="preserve">5. Cambios de la versión 2.0</t>
  </si>
  <si>
    <t xml:space="preserve">Hoja "Cambios v2": detalle de riesgos nuevos (R-20 a R-26), modificados, cerrado (R-05) y equivalencias de IDs de requerimientos ERS v1 → ERS v2. Los IDs R-01 a R-19 se conservan para mantener la trazabilidad con la versión anterior. Las probabilidades e impactos de los riesgos nuevos o re-evaluados son una propuesta inicial y deben ser validados por el equipo y el docente.</t>
  </si>
  <si>
    <t xml:space="preserve">REGISTRO DE RIESGOS — Proyecto CarteraX (v2.0, actualizado con ERS v2)</t>
  </si>
  <si>
    <t xml:space="preserve">ID</t>
  </si>
  <si>
    <t xml:space="preserve">Categoría</t>
  </si>
  <si>
    <t xml:space="preserve">Descripción del riesgo</t>
  </si>
  <si>
    <t xml:space="preserve">Causa raíz</t>
  </si>
  <si>
    <t xml:space="preserve">Fuente</t>
  </si>
  <si>
    <t xml:space="preserve">Módulo/Fase EDT</t>
  </si>
  <si>
    <t xml:space="preserve">Prob.
(1-5)</t>
  </si>
  <si>
    <t xml:space="preserve">Imp.
(1-5)</t>
  </si>
  <si>
    <t xml:space="preserve">Nivel
(P×I)</t>
  </si>
  <si>
    <t xml:space="preserve">Estrategia</t>
  </si>
  <si>
    <t xml:space="preserve">Plan de mitigación</t>
  </si>
  <si>
    <t xml:space="preserve">Responsable</t>
  </si>
  <si>
    <t xml:space="preserve">Disparador de alerta</t>
  </si>
  <si>
    <t xml:space="preserve">Estado (v2)</t>
  </si>
  <si>
    <t xml:space="preserve">Casos de prueba asociados</t>
  </si>
  <si>
    <t xml:space="preserve">R-01</t>
  </si>
  <si>
    <t xml:space="preserve">Alcance / Gestión</t>
  </si>
  <si>
    <t xml:space="preserve">El ERS v2 redefine el alcance respecto al Acta de Constitución v1.1: el sistema queda limitado al rol Ejecutivo (se retiran el rol Supervisor/Administrador y la sincronización Ejecutivo–Supervisor) y se incorporan Phoenix Mobile (Android/Kotlin), la cola de llamadas, reportes/exportación y configuración. Existe el riesgo de que el Acta v1.1 siga sin reflejar formalmente este alcance.</t>
  </si>
  <si>
    <t xml:space="preserve">Evolución de los requerimientos tras analizar archivos reales de cartera y redefinir la arquitectura, sin una actualización formal del Acta.</t>
  </si>
  <si>
    <t xml:space="preserve">Acta + ERS v2</t>
  </si>
  <si>
    <t xml:space="preserve">Gestión del Proyecto / Alcance</t>
  </si>
  <si>
    <t xml:space="preserve">Mitigar</t>
  </si>
  <si>
    <t xml:space="preserve">Elaborar un adendum o nueva versión del Acta (v1.2) que declare explícitamente el alcance solo-Ejecutivo, la exclusión de Supervisor/sincronización y la inclusión de Phoenix Mobile y la cola de llamadas, y hacerla revisar por el docente antes de continuar el desarrollo.</t>
  </si>
  <si>
    <t xml:space="preserve">Jhonny Silva</t>
  </si>
  <si>
    <t xml:space="preserve">Inicio del desarrollo de Phoenix Mobile o de la cola de llamadas sin Acta actualizada.</t>
  </si>
  <si>
    <t xml:space="preserve">Modificado — reformulado (en v1 se refería a la sincronización y al rol Supervisor)</t>
  </si>
  <si>
    <t xml:space="preserve">N/A (gestión de alcance); la aceptación UAT valida el alcance final</t>
  </si>
  <si>
    <t xml:space="preserve">R-02</t>
  </si>
  <si>
    <t xml:space="preserve">Datos / ETL</t>
  </si>
  <si>
    <t xml:space="preserve">Los archivos Excel de cartera llegan con estructuras y nombres de columna distintos entre ejecutivos y meses (ej. COL_INI / DEUDA / DEUDA TOTAL); pueden aparecer variaciones no contempladas en el mapeo automático (RF-08, RNF-19).</t>
  </si>
  <si>
    <t xml:space="preserve">Falta de un estándar de captura de datos en el proceso manual actual (cada ejecutivo arma su Excel a su manera).</t>
  </si>
  <si>
    <t xml:space="preserve">ERS v2 + Acta</t>
  </si>
  <si>
    <t xml:space="preserve">Motor de Carga y ETL</t>
  </si>
  <si>
    <t xml:space="preserve">Diseñar el mapeo de columnas como un diccionario de sinónimos configurable (no hardcodeado) y ampliarlo iterativamente con cada archivo real recibido; todo campo no reconocido queda marcado para revisión manual y se informa en el resumen post-importación (RF-12).</t>
  </si>
  <si>
    <t xml:space="preserve">Cristóbal Irarrázabal</t>
  </si>
  <si>
    <t xml:space="preserve">Aparición de columnas nuevas no reconocidas al probar con archivos reales.</t>
  </si>
  <si>
    <t xml:space="preserve">Vigente — referencias actualizadas a ERS v2 (RF-09→RF-08, RF-13→RF-12)</t>
  </si>
  <si>
    <t xml:space="preserve">TC-01, TC-23</t>
  </si>
  <si>
    <t xml:space="preserve">R-03</t>
  </si>
  <si>
    <t xml:space="preserve">Priorización / Lógica de negocio</t>
  </si>
  <si>
    <t xml:space="preserve">El motor de scoring (RF-21) pondera mal las variables (monto, mora, tramo, estado de gestión) y entrega una priorización poco confiable para el negocio.</t>
  </si>
  <si>
    <t xml:space="preserve">No existe modelo predictivo; se usan reglas de negocio configurables definidas por el propio equipo, sin validación experta previa.</t>
  </si>
  <si>
    <t xml:space="preserve">Priorización y Variables de Cobranza</t>
  </si>
  <si>
    <t xml:space="preserve">Validar los pesos del score con al menos un supervisor/jefatura real de Phoenix Service como experto de negocio (el rol Supervisor ya no forma parte del sistema) antes de la entrega final, dejar los pesos como parámetros configurables y documentar los supuestos usados.</t>
  </si>
  <si>
    <t xml:space="preserve">Cristóbal Irarrázabal / Diego Cruz</t>
  </si>
  <si>
    <t xml:space="preserve">El experto de negocio reporta que el orden de prioridad 'no tiene sentido' en pruebas de usabilidad.</t>
  </si>
  <si>
    <t xml:space="preserve">Vigente — referencia actualizada (RF-35→RF-21)</t>
  </si>
  <si>
    <t xml:space="preserve">TC-05, TC-07</t>
  </si>
  <si>
    <t xml:space="preserve">R-04</t>
  </si>
  <si>
    <t xml:space="preserve">La clasificación de la última gestión (RF-20) por palabras clave (sin NLP/ML) clasifica mal textos con errores de tipeo, abreviaciones o lenguaje coloquial del ejecutivo.</t>
  </si>
  <si>
    <t xml:space="preserve">Decisión de diseño de usar reglas simples de palabras clave en vez de un modelo de lenguaje.</t>
  </si>
  <si>
    <t xml:space="preserve">ERS v2</t>
  </si>
  <si>
    <t xml:space="preserve">Construir el diccionario de palabras clave a partir de una muestra real de textos de gestión; incluir la categoría 'sin clasificar' en vez de forzar una categoría incorrecta (nota: no está entre las 5 categorías del RF-20, requiere decisión del equipo) y permitir corrección manual.</t>
  </si>
  <si>
    <t xml:space="preserve">Alto porcentaje de gestiones clasificadas como 'sin contacto' que en realidad tienen otro estado.</t>
  </si>
  <si>
    <t xml:space="preserve">Vigente — referencia actualizada (RF-34→RF-20)</t>
  </si>
  <si>
    <t xml:space="preserve">TC-06</t>
  </si>
  <si>
    <t xml:space="preserve">R-06</t>
  </si>
  <si>
    <t xml:space="preserve">Seguridad / Cumplimiento</t>
  </si>
  <si>
    <t xml:space="preserve">El sistema almacena y procesa datos personales y financieros sensibles de clientes (RUT, teléfono, deuda), incluido el número que se envía a Phoenix Mobile, sin cumplir adecuadamente la Ley 19.628 de protección de datos personales.</t>
  </si>
  <si>
    <t xml:space="preserve">El foco del equipo está en la funcionalidad más que en el cumplimiento normativo, dado el carácter académico del proyecto.</t>
  </si>
  <si>
    <t xml:space="preserve">ERS v2 (RNF-04, RNF-06)</t>
  </si>
  <si>
    <t xml:space="preserve">Seguridad y Control de Acceso</t>
  </si>
  <si>
    <t xml:space="preserve">Usar exclusivamente datos anonimizados/de prueba durante desarrollo y pruebas (ya es un supuesto del Acta), cifrar contraseñas (RNF-04) y datos en reposo cuando la BD lo permita (RNF-06), y documentar las limitaciones de cumplimiento en el manual técnico.</t>
  </si>
  <si>
    <t xml:space="preserve">Uso accidental de datos reales de clientes en un ambiente de prueba.</t>
  </si>
  <si>
    <t xml:space="preserve">Vigente — referencias actualizadas (RNF-08→RNF-06, RNF-06→RNF-04) y alcance ampliado a Mobile</t>
  </si>
  <si>
    <t xml:space="preserve">TC-10, TC-21</t>
  </si>
  <si>
    <t xml:space="preserve">R-07</t>
  </si>
  <si>
    <t xml:space="preserve">Seguridad</t>
  </si>
  <si>
    <t xml:space="preserve">Contraseñas o sesiones mal implementadas (sin hash+salt, sin expiración por inactividad) exponen datos bancarios sensibles a acceso indebido.</t>
  </si>
  <si>
    <t xml:space="preserve">La presión del plazo académico puede llevar a priorizar funcionalidad por sobre el hardening de seguridad.</t>
  </si>
  <si>
    <t xml:space="preserve">ERS v2 (RNF-04, RNF-05, RNF-07)</t>
  </si>
  <si>
    <t xml:space="preserve">Incluir pruebas de seguridad específicas (EDT 1.11.6) antes del cierre, usando librerías estándar de hashing (bcrypt/argon2) desde el inicio del desarrollo del backend.</t>
  </si>
  <si>
    <t xml:space="preserve">Hallazgo en pruebas de seguridad o auditoría de código.</t>
  </si>
  <si>
    <t xml:space="preserve">Vigente — referencias actualizadas (RNF-06,07,09 → RNF-04,05,07)</t>
  </si>
  <si>
    <t xml:space="preserve">TC-10, TC-11, TC-12</t>
  </si>
  <si>
    <t xml:space="preserve">R-08</t>
  </si>
  <si>
    <t xml:space="preserve">Rendimiento</t>
  </si>
  <si>
    <t xml:space="preserve">El motor ETL o los dashboards no cumplen los tiempos de respuesta esperados (RNF-09: pocos segundos; RNF-10: fluidez con ~200-250 clientes) en un computador estándar de oficina (RNF-18).</t>
  </si>
  <si>
    <t xml:space="preserve">Falta de pruebas de carga tempranas; procesamiento en Node.js/TypeScript (single-thread) no optimizado para archivos grandes.</t>
  </si>
  <si>
    <t xml:space="preserve">Motor de Carga ETL / Dashboard</t>
  </si>
  <si>
    <t xml:space="preserve">Realizar pruebas de rendimiento con archivos reales desde fases tempranas del desarrollo del ETL, no sólo al final del proyecto.</t>
  </si>
  <si>
    <t xml:space="preserve">Tiempos de carga superiores a 10 segundos en pruebas con archivo real.</t>
  </si>
  <si>
    <t xml:space="preserve">Vigente — referencias actualizadas (RNF-11→RNF-09, RNF-12→RNF-10, RNF-16→RNF-18)</t>
  </si>
  <si>
    <t xml:space="preserve">TC-08</t>
  </si>
  <si>
    <t xml:space="preserve">R-09</t>
  </si>
  <si>
    <t xml:space="preserve">Datos / Calidad</t>
  </si>
  <si>
    <t xml:space="preserve">Las reglas automáticas de limpieza y corrección (RF-09, RF-10, RF-11) 'corrigen' datos de forma incorrecta, ocultando errores reales de la cartera en lugar de exponerlos para revisión.</t>
  </si>
  <si>
    <t xml:space="preserve">Automatización agresiva de limpieza sin suficiente validación con casos reales.</t>
  </si>
  <si>
    <t xml:space="preserve">Motor de Carga ETL</t>
  </si>
  <si>
    <t xml:space="preserve">Marcar todo dato corregido automáticamente de forma visible y trazable (no sobrescribir sin dejar registro, alineado con RF-12 y RF-13: resumen post-importación y conservación del archivo original) y validar las reglas con datos reales antes de cerrar el módulo.</t>
  </si>
  <si>
    <t xml:space="preserve">Un supervisor detecta un caso donde el sistema 'corrigió' un dato que en realidad era correcto.</t>
  </si>
  <si>
    <t xml:space="preserve">Vigente — referencias actualizadas (RF-10/11→RF-09/10/11; RF-13/14→RF-12/13)</t>
  </si>
  <si>
    <t xml:space="preserve">TC-02, TC-03, TC-04, TC-23</t>
  </si>
  <si>
    <t xml:space="preserve">R-10</t>
  </si>
  <si>
    <t xml:space="preserve">Cronograma / Gestión</t>
  </si>
  <si>
    <t xml:space="preserve">La alta variabilidad de formatos de Excel entre ejecutivos retrasa el desarrollo del motor ETL más allá de las 3 semanas planificadas (EDT 1.6).</t>
  </si>
  <si>
    <t xml:space="preserve">Variabilidad ya observada en los 3 archivos reales analizados para construir el ERS.</t>
  </si>
  <si>
    <t xml:space="preserve">Acta + EDT + ERS v2</t>
  </si>
  <si>
    <t xml:space="preserve">Probar con archivos reales desde la fase de levantamiento (no sólo al llegar al desarrollo del ETL) y usar el diccionario de mapeo configurable definido en R-02.</t>
  </si>
  <si>
    <t xml:space="preserve">Retraso acumulado del hito de la fase 1.6 en el cronograma.</t>
  </si>
  <si>
    <t xml:space="preserve">Vigente — sin cambios</t>
  </si>
  <si>
    <t xml:space="preserve">TC-01</t>
  </si>
  <si>
    <t xml:space="preserve">R-11</t>
  </si>
  <si>
    <t xml:space="preserve">Organizacional</t>
  </si>
  <si>
    <t xml:space="preserve">Resistencia al cambio de herramienta por parte de los ejecutivos, acostumbrados a trabajar en Excel.</t>
  </si>
  <si>
    <t xml:space="preserve">Cambio de método de trabajo consolidado durante años.</t>
  </si>
  <si>
    <t xml:space="preserve">Acta</t>
  </si>
  <si>
    <t xml:space="preserve">Capacitación y Puesta en Marcha</t>
  </si>
  <si>
    <t xml:space="preserve">Capacitación temprana e involucrar a un grupo de ejecutivos desde las pruebas de usabilidad (EDT 1.11.7), no sólo al final del proyecto.</t>
  </si>
  <si>
    <t xml:space="preserve">Diego Cruz</t>
  </si>
  <si>
    <t xml:space="preserve">Baja participación o feedback negativo en el focus group de validación.</t>
  </si>
  <si>
    <t xml:space="preserve">TC-09 (usabilidad / UAT)</t>
  </si>
  <si>
    <t xml:space="preserve">R-12</t>
  </si>
  <si>
    <t xml:space="preserve">Infraestructura / Despliegue</t>
  </si>
  <si>
    <t xml:space="preserve">El empaquetado de Phoenix Desktop (Electron + backend Node.js/TypeScript + SQLite) se comporta distinto según la versión de Node.js y la configuración de cada equipo, dificultando la instalación en el entorno final de Phoenix. Además, Phoenix Mobile debe distribuirse como APK firmado (RNF-20), un entregable que hoy no tiene tareas en el EDT.</t>
  </si>
  <si>
    <t xml:space="preserve">Diversidad de versiones de Node.js y configuraciones de hardware entre los equipos de desarrollo y el entorno de producción; se suma un segundo artefacto de distribución (APK Android) no considerado antes.</t>
  </si>
  <si>
    <t xml:space="preserve">Acta + EDT + ERS v2 (RNF-20)</t>
  </si>
  <si>
    <t xml:space="preserve">Empaquetado e Implementación Local</t>
  </si>
  <si>
    <t xml:space="preserve">Fijar una única versión de Node.js (con nvm/.nvmrc) para todo el equipo, evitar dependencias nativas (node-gyp) cuando sea posible, probar el build de Electron en distintos equipos antes de la instalación final (EDT 1.12.2) y agregar al EDT la tarea de generación y firma del APK.</t>
  </si>
  <si>
    <t xml:space="preserve">Fallos de instalación en la prueba realizada en un equipo distinto al de desarrollo, o APK sin generar a falta de una semana del cierre.</t>
  </si>
  <si>
    <t xml:space="preserve">Modificado — alcance ampliado al APK; probabilidad re-evaluada (2→3)</t>
  </si>
  <si>
    <t xml:space="preserve">Fuera de alcance de pruebas funcionales (RNF-20; ver Plan §2.2)</t>
  </si>
  <si>
    <t xml:space="preserve">R-13</t>
  </si>
  <si>
    <t xml:space="preserve">Datos / Continuidad</t>
  </si>
  <si>
    <t xml:space="preserve">Pérdida de información por operar sin respaldo en la nube, ante fallas de hardware o errores humanos.</t>
  </si>
  <si>
    <t xml:space="preserve">Arquitectura 100% local sin nube; aunque SQLite simplifica el respaldo (toda la base es un solo archivo .sqlite), aún no existe una rutina de backup automático definida.</t>
  </si>
  <si>
    <t xml:space="preserve">Acta + ERS v2 (RNF-12, RNF-14)</t>
  </si>
  <si>
    <t xml:space="preserve">Base de Datos / Empaquetado</t>
  </si>
  <si>
    <t xml:space="preserve">Definir una rutina simple de copia periódica del archivo .sqlite (backup local automatizado al cerrar sesión o por tarea programada), coordinada con el Área de TI de Phoenix — aprovechando que SQLite no requiere un motor de base de datos separado para respaldar.</t>
  </si>
  <si>
    <t xml:space="preserve">Incidente de pérdida de datos detectado en ambiente de pruebas.</t>
  </si>
  <si>
    <t xml:space="preserve">Vigente — referencia actualizada (RNF-14→RNF-12 para backup)</t>
  </si>
  <si>
    <t xml:space="preserve">TC-19</t>
  </si>
  <si>
    <t xml:space="preserve">R-14</t>
  </si>
  <si>
    <t xml:space="preserve">Cronograma / Académico</t>
  </si>
  <si>
    <t xml:space="preserve">El plazo académico del examen transversal (capstone) es insuficiente frente al alcance del ERS v2 (33 RF + 22 RNF; 22 RF y 16 RNF son Must), que incorpora un componente nuevo —Phoenix Mobile en Kotlin/Android— sin planificación en el EDT.</t>
  </si>
  <si>
    <t xml:space="preserve">El alcance cambió respecto al Acta v1.1 (sale la sincronización, entran Mobile, telefonía y cola de llamadas) sin ajustar el plazo ni el EDT.</t>
  </si>
  <si>
    <t xml:space="preserve">Gestión del Proyecto</t>
  </si>
  <si>
    <t xml:space="preserve">Priorizar el desarrollo según la clasificación MoSCoW del ERS v2 (Must/Should/Could), asegurando que los 38 requerimientos 'Must' estén cubiertos antes que los 'Should/Could'; acordar con el docente qué Should/Could se difieren si el tiempo no alcanza.</t>
  </si>
  <si>
    <t xml:space="preserve">Al cierre de la fase de desarrollo, quedan requerimientos 'Must' sin implementar.</t>
  </si>
  <si>
    <t xml:space="preserve">Modificado — conteos actualizados a ERS v2 y alcance Mobile</t>
  </si>
  <si>
    <t xml:space="preserve">N/A (gestión); el Plan de Pruebas prioriza los Must</t>
  </si>
  <si>
    <t xml:space="preserve">R-15</t>
  </si>
  <si>
    <t xml:space="preserve">Calidad / Pruebas</t>
  </si>
  <si>
    <t xml:space="preserve">Cobertura de pruebas insuficiente para las funcionalidades del ERS v2 (normalización de datos, scoring, telefonía/cola de llamadas e integración Desktop–Mobile) por el tiempo acotado del proyecto.</t>
  </si>
  <si>
    <t xml:space="preserve">87 actividades del EDT y 55 requerimientos (33 RF + 22 RNF) a cubrir con sólo 3 personas y 2 semanas de pruebas (EDT 1.11); el EDT no contempla pruebas de Phoenix Mobile.</t>
  </si>
  <si>
    <t xml:space="preserve">EDT + ERS v2</t>
  </si>
  <si>
    <t xml:space="preserve">Pruebas y Validación</t>
  </si>
  <si>
    <t xml:space="preserve">Priorizar el plan de pruebas según los requerimientos 'Must' del ERS v2 y los riesgos más altos de esta matriz (R-02, R-03, R-04, R-20, R-24, R-26) —ya reflejado en el Plan de Pruebas v1.1, sección 7.2— y detallar primero los casos pendientes de requerimientos Must.</t>
  </si>
  <si>
    <t xml:space="preserve">Al iniciar la fase de pruebas, más del 30% de los RF 'Must' sin caso de prueba definido.</t>
  </si>
  <si>
    <t xml:space="preserve">Modificado — conteos y riesgos priorizados actualizados</t>
  </si>
  <si>
    <t xml:space="preserve">Todo el plan (ver Plan §7.1 y §7.2)</t>
  </si>
  <si>
    <t xml:space="preserve">R-16</t>
  </si>
  <si>
    <t xml:space="preserve">Usabilidad</t>
  </si>
  <si>
    <t xml:space="preserve">Interfaz poco intuitiva para usuarios no técnicos (ejecutivos de cobranza), afectando la adopción y el criterio de éxito de usabilidad definido en el Acta.</t>
  </si>
  <si>
    <t xml:space="preserve">Complejidad de las funcionalidades (filtros, dashboards personalizables, priorización) frente a la simplicidad exigida en RNF-01/02.</t>
  </si>
  <si>
    <t xml:space="preserve">Frontend y Dashboard</t>
  </si>
  <si>
    <t xml:space="preserve">Validar el prototipo Figma con ejecutivos reales antes de iniciar el desarrollo del frontend (EDT 1.3.4), no sólo al final del proyecto.</t>
  </si>
  <si>
    <t xml:space="preserve">Feedback negativo de usabilidad en las pruebas con usuarios (EDT 1.11.7).</t>
  </si>
  <si>
    <t xml:space="preserve">TC-09</t>
  </si>
  <si>
    <t xml:space="preserve">R-17</t>
  </si>
  <si>
    <t xml:space="preserve">Documentación / Cierre</t>
  </si>
  <si>
    <t xml:space="preserve">Documentación técnica y manual de usuario desactualizados respecto a la versión final entregada, dado el ritmo de cambios de alcance entre el Acta, el ERS v2, el EDT, el Plan de Pruebas y esta matriz.</t>
  </si>
  <si>
    <t xml:space="preserve">Múltiples versiones de documentos (Acta v1.1, EDT, ERS v2, Plan de Pruebas, Matriz de Riesgos) sin control de versiones centralizado y sincronizado.</t>
  </si>
  <si>
    <t xml:space="preserve">Mantener control de versiones de todos los documentos (Git/repositorio compartido, EDT 1.1.5) y actualizar la documentación como parte de la definición de 'terminado' de cada módulo.</t>
  </si>
  <si>
    <t xml:space="preserve">Discrepancias detectadas entre el manual y el sistema durante las pruebas de aceptación.</t>
  </si>
  <si>
    <t xml:space="preserve">Vigente — documentos citados actualizados</t>
  </si>
  <si>
    <t xml:space="preserve">N/A (documental)</t>
  </si>
  <si>
    <t xml:space="preserve">R-18</t>
  </si>
  <si>
    <t xml:space="preserve">Arquitectura / Datos</t>
  </si>
  <si>
    <t xml:space="preserve">La elección de SQLite en lugar de PostgreSQL introduce limitaciones de concurrencia (SQLite permite un solo proceso escribiendo a la vez sobre el mismo archivo) y ausencia de tipado estricto de columnas, lo que puede generar bloqueos de escritura o inconsistencias de datos si no se diseña con cuidado (p. ej. importación, registro de gestiones y cola de llamadas escribiendo en paralelo).</t>
  </si>
  <si>
    <t xml:space="preserve">Decisión de usar SQLite para simplificar el despliegue local, sin ajustar aún el diseño del modelo de datos ni el acceso concurrente.</t>
  </si>
  <si>
    <t xml:space="preserve">Decisión de arquitectura (ERS v2, RNF-14, RNF-15)</t>
  </si>
  <si>
    <t xml:space="preserve">Base de Datos</t>
  </si>
  <si>
    <t xml:space="preserve">Diseñar cada instancia de SQLite como de un solo usuario (una BD local por ejecutivo, RNF-14; ya no hay sincronización entre BDs), serializar las escrituras desde el proceso principal de Electron y validar los tipos de datos estrictamente en la capa de aplicación TypeScript antes de persistir.</t>
  </si>
  <si>
    <t xml:space="preserve">Errores de tipo 'database is locked' durante pruebas, o datos de tipo inconsistente detectados en la base.</t>
  </si>
  <si>
    <t xml:space="preserve">Modificado — se elimina la referencia a la arquitectura de sincronización</t>
  </si>
  <si>
    <t xml:space="preserve">TC-24</t>
  </si>
  <si>
    <t xml:space="preserve">R-19</t>
  </si>
  <si>
    <t xml:space="preserve">El cambio de Pandas/OpenPyXL (Python) a librerías JavaScript/TypeScript (ej. ExcelJS, SheetJS) para el motor ETL puede tener menor madurez o rendimiento para reglas de limpieza y normalización avanzadas, obligando a reimplementar lógica ya diseñada para el stack anterior.</t>
  </si>
  <si>
    <t xml:space="preserve">Cambio de stack tecnológico del proyecto de Python a TypeScript/JavaScript (el ERS v2 deja a Python como opcional, no obligatorio).</t>
  </si>
  <si>
    <t xml:space="preserve">Decisión de arquitectura (ERS v2, RNF-15)</t>
  </si>
  <si>
    <t xml:space="preserve">Validar tempranamente, con un archivo real de cartera, que la librería JS elegida (ExcelJS/SheetJS) soporta todas las variaciones de formato ya identificadas en el ERS (RF-08 a RF-12) antes de construir el resto del motor ETL sobre ella.</t>
  </si>
  <si>
    <t xml:space="preserve">La librería elegida no logra leer o interpretar correctamente un archivo real de cartera durante las pruebas.</t>
  </si>
  <si>
    <t xml:space="preserve">Vigente — referencias actualizadas (RF-09 a RF-12 → RF-08 a RF-12)</t>
  </si>
  <si>
    <t xml:space="preserve">TC-01, TC-08</t>
  </si>
  <si>
    <t xml:space="preserve">R-20</t>
  </si>
  <si>
    <t xml:space="preserve">Alcance / Planificación</t>
  </si>
  <si>
    <t xml:space="preserve">Phoenix Mobile (RF-28, RF-29, RNF-16, RNF-17, RNF-21) no tiene ninguna tarea en el EDT (GAP crítico señalado en la hoja 'Trazabilidad EDT' del ERS v2) ni un responsable de desarrollo/pruebas Android en la Matriz RACI; puede quedar sin desarrollar, sin pruebas o sin fecha comprometida.</t>
  </si>
  <si>
    <t xml:space="preserve">El EDT conserva la arquitectura anterior (React + FastAPI) y no contempla la app Android/Kotlin; el equipo no ha asignado formalmente el rol Android.</t>
  </si>
  <si>
    <t xml:space="preserve">ERS v2 (Trazabilidad EDT) + Plan de Pruebas v1.0</t>
  </si>
  <si>
    <t xml:space="preserve">Gestión del Proyecto / EDT (sin tarea asociada)</t>
  </si>
  <si>
    <t xml:space="preserve">Incorporar al EDT una rama de Phoenix Mobile (desarrollo, integración con Desktop, pruebas, empaquetado APK), asignar formalmente un responsable Android/Kotlin y actualizar la RACI; si no hay capacidad, acordar con el docente reducir o diferir el componente, priorizando los Must RF-28 a RF-32.</t>
  </si>
  <si>
    <t xml:space="preserve">Inicio de la fase de desarrollo sin tareas de Mobile en el EDT o sin responsable Android confirmado.</t>
  </si>
  <si>
    <t xml:space="preserve">Nuevo (v2)</t>
  </si>
  <si>
    <t xml:space="preserve">TC-13 a TC-17 quedan bloqueados hasta resolverlo (ver Plan §8)</t>
  </si>
  <si>
    <t xml:space="preserve">R-21</t>
  </si>
  <si>
    <t xml:space="preserve">Telefonía / Integración</t>
  </si>
  <si>
    <t xml:space="preserve">La comunicación Desktop↔Mobile por HTTP/REST sobre LAN/Wi-Fi (RF-28, RF-29, RNF-17) puede fallar o ser inestable: redes con aislamiento de clientes, firewall de Windows, IP dinámicas, Wi-Fi corporativo distinto al de pruebas o pérdida de conexión en mitad de la cola de llamadas.</t>
  </si>
  <si>
    <t xml:space="preserve">Dependencia de la red local y de configuraciones que el equipo no controla (red de la oficina de Phoenix, equipos con firewall).</t>
  </si>
  <si>
    <t xml:space="preserve">Phoenix Mobile / Telefonía (sin tarea EDT)</t>
  </si>
  <si>
    <t xml:space="preserve">Definir el mecanismo de descubrimiento/vinculación (IP fija o código de emparejamiento), verificar el estado de conexión antes de cada llamada (RF-28), manejar timeouts y reintentos acotados sin duplicar llamadas, y probar en al menos dos redes distintas y con el firewall activo.</t>
  </si>
  <si>
    <t xml:space="preserve">Diego Cruz (confirmar responsable Android)</t>
  </si>
  <si>
    <t xml:space="preserve">Fallos de vinculación en la prueba de integración o al probar en una red distinta a la de desarrollo.</t>
  </si>
  <si>
    <t xml:space="preserve">TC-13, TC-22</t>
  </si>
  <si>
    <t xml:space="preserve">R-22</t>
  </si>
  <si>
    <t xml:space="preserve">Telefonía / Android</t>
  </si>
  <si>
    <t xml:space="preserve">Phoenix Mobile no logra iniciar llamadas por restricciones de Android: permiso de llamadas no concedido o revocado (RNF-21), ahorro de batería o ejecución en segundo plano limitada por el fabricante, o diferencias entre versiones de Android.</t>
  </si>
  <si>
    <t xml:space="preserve">Modelo de permisos en tiempo de ejecución y políticas del sistema operativo/fabricante; versión mínima de Android aún no definida.</t>
  </si>
  <si>
    <t xml:space="preserve">ERS v2 (RNF-16, RNF-21)</t>
  </si>
  <si>
    <t xml:space="preserve">Definir la versión mínima de Android y los dispositivos objetivo; solicitar el permiso de forma explícita y bloquear la llamada si no está concedido (RNF-21); manejar la revocación con un mensaje claro; probar en al menos dos dispositivos/versiones.</t>
  </si>
  <si>
    <t xml:space="preserve">Por confirmar (desarrollo Android)</t>
  </si>
  <si>
    <t xml:space="preserve">La llamada no se inicia en un dispositivo o versión distinta a la de desarrollo.</t>
  </si>
  <si>
    <t xml:space="preserve">TC-14, TC-15, TC-25</t>
  </si>
  <si>
    <t xml:space="preserve">R-23</t>
  </si>
  <si>
    <t xml:space="preserve">El entorno de pruebas de Phoenix Mobile no está definido: un emulador no permite validar una llamada real por SIM, y se requiere un dispositivo físico con SIM/línea de prueba, versión de Android definida y una red LAN de prueba.</t>
  </si>
  <si>
    <t xml:space="preserve">El Plan de Pruebas v1.0 deja pendiente definir el entorno; depende de la disponibilidad de un dispositivo y una SIM del equipo.</t>
  </si>
  <si>
    <t xml:space="preserve">Plan de Pruebas v1.0 (§8)</t>
  </si>
  <si>
    <t xml:space="preserve">Definir antes de la fase de pruebas el dispositivo físico con SIM (o línea de prueba), la versión mínima de Android y la red LAN de prueba; usar números propios del equipo (nunca de clientes reales) y reservar el dispositivo para las ventanas de prueba.</t>
  </si>
  <si>
    <t xml:space="preserve">Llegada a la fase de pruebas sin dispositivo/SIM disponible.</t>
  </si>
  <si>
    <t xml:space="preserve">Habilita TC-13 a TC-17, TC-21, TC-22 y TC-25</t>
  </si>
  <si>
    <t xml:space="preserve">R-24</t>
  </si>
  <si>
    <t xml:space="preserve">Telefonía / Cola de llamadas</t>
  </si>
  <si>
    <t xml:space="preserve">La cola progresiva (RF-30, RF-31, RF-32, RNF-22) aplica mal las reglas de elegibilidad (contacto inválido, 'no contactar', intentos agotados, próxima gestión futura) o permite llamadas simultáneas / avanzar sin registrar el resultado, generando llamadas a clientes no elegibles o gestiones sin registro.</t>
  </si>
  <si>
    <t xml:space="preserve">Reglas de elegibilidad con múltiples condiciones y datos de entrada con placeholders (teléfonos genéricos) que dependen de la normalización del ETL (RF-09).</t>
  </si>
  <si>
    <t xml:space="preserve">Cola de Llamadas (sin tarea EDT)</t>
  </si>
  <si>
    <t xml:space="preserve">Implementar las reglas como funciones puras con pruebas unitarias exhaustivas (tabla de decisión), modelar la cola como máquina de estados (un solo contacto activo; no avanza sin resultado registrado) y validar los teléfonos tras la normalización.</t>
  </si>
  <si>
    <t xml:space="preserve">Diego Cruz / Cristóbal Irarrázabal</t>
  </si>
  <si>
    <t xml:space="preserve">La cola incluye un cliente marcado 'no contactar' o con teléfono inválido durante las pruebas.</t>
  </si>
  <si>
    <t xml:space="preserve">TC-16, TC-17, TC-22, TC-24</t>
  </si>
  <si>
    <t xml:space="preserve">R-25</t>
  </si>
  <si>
    <t xml:space="preserve">El EDT no está alineado con el ERS v2: describe React + FastAPI/JWT (con la inconsistencia 'JavaScript + FastAPI' en 1.4.4), incluye tareas sin respaldo en el ERS (1.7.8 mensajería automática, 1.7.9 marcado telefónico automático) y no tiene tareas para Reportes/Exportación (RF-25) ni Configuración (RF-27). Se podría planificar trabajo fuera de alcance, omitir requerimientos o probar contra una arquitectura distinta.</t>
  </si>
  <si>
    <t xml:space="preserve">El ERS se consolidó (v2) sin actualizar el EDT; el propio ERS recomienda actualizarlo antes de iniciar el desarrollo.</t>
  </si>
  <si>
    <t xml:space="preserve">ERS v2 (Resumen de Correcciones y Trazabilidad EDT)</t>
  </si>
  <si>
    <t xml:space="preserve">Gestión del Proyecto / EDT</t>
  </si>
  <si>
    <t xml:space="preserve">Actualizar el EDT a la arquitectura vigente (Electron + SQLite + Kotlin): retirar 1.7.8 y 1.7.9 o formalizarlos como RF/RNF, agregar tareas para RF-25 y RF-27, corregir 1.4.4, y luego re-verificar los códigos EDT citados en esta matriz (p. ej. 1.3.4, 1.6, 1.11.x, 1.12.2).</t>
  </si>
  <si>
    <t xml:space="preserve">Se ejecuta una tarea del EDT que no tiene RF/RNF asociado en el ERS v2.</t>
  </si>
  <si>
    <t xml:space="preserve">N/A (gestión)</t>
  </si>
  <si>
    <t xml:space="preserve">R-26</t>
  </si>
  <si>
    <t xml:space="preserve">El canal Desktop→Mobile usa HTTP/REST + JSON sobre LAN/Wi-Fi (RNF-17) y el ERS no define autenticación ni cifrado del canal: otro dispositivo de la misma red podría enviar órdenes de llamada o interceptar números de teléfono de clientes.</t>
  </si>
  <si>
    <t xml:space="preserve">Decisión de comunicación local sin API de pago, sin un mecanismo de autenticación especificado en el ERS.</t>
  </si>
  <si>
    <t xml:space="preserve">ERS v2 (RF-28, RF-29, RNF-06, RNF-17)</t>
  </si>
  <si>
    <t xml:space="preserve">Phoenix Mobile / Seguridad (sin tarea EDT)</t>
  </si>
  <si>
    <t xml:space="preserve">Definir en la vinculación (RF-28) un secreto/token de emparejamiento validado en cada solicitud, aceptar solo el origen vinculado, escuchar únicamente en la LAN, no registrar números en logs y evaluar TLS local si el tiempo lo permite; documentar la limitación restante.</t>
  </si>
  <si>
    <t xml:space="preserve">Phoenix Mobile acepta una orden de llamada sin vinculación previa durante una prueba de seguridad.</t>
  </si>
  <si>
    <t xml:space="preserve">TC-21</t>
  </si>
  <si>
    <t xml:space="preserve">RIESGOS CERRADOS / RETIRADOS EN v2 (se conservan por trazabilidad con la v1)</t>
  </si>
  <si>
    <t xml:space="preserve">R-05</t>
  </si>
  <si>
    <t xml:space="preserve">Arquitectura / Sincronización</t>
  </si>
  <si>
    <t xml:space="preserve">La regla de resolución de conflictos de sincronización ('gana el cambio más reciente por marca de tiempo', RF-38) puede sobrescribir silenciosamente una gestión válida registrada por el ejecutivo.</t>
  </si>
  <si>
    <t xml:space="preserve">Regla de resolución simplificada, sin mecanismo de fusión de cambios.</t>
  </si>
  <si>
    <t xml:space="preserve">ERS v1</t>
  </si>
  <si>
    <t xml:space="preserve">Módulo de Sincronización</t>
  </si>
  <si>
    <t xml:space="preserve">Cerrado</t>
  </si>
  <si>
    <t xml:space="preserve">Registrar todo conflicto resuelto en un log visible para el supervisor (ya contemplado en el ERS) y notificar al ejecutivo cuando su registro fue sobrescrito.</t>
  </si>
  <si>
    <t xml:space="preserve">Reclamo de un ejecutivo por una gestión 'perdida' después de sincronizar.</t>
  </si>
  <si>
    <t xml:space="preserve">Cerrado — obsoleto en ERS v2: el módulo de sincronización (RF-36 a RF-38 de v1) fue eliminado; ya no hay resolución de conflictos entre Ejecutivo y Supervisor</t>
  </si>
  <si>
    <t xml:space="preserve">N/A — los TC de sincronización del plan v1 quedaron obsoletos</t>
  </si>
  <si>
    <t xml:space="preserve">MAPA DE CALOR DE RIESGOS — Probabilidad × Impacto</t>
  </si>
  <si>
    <t xml:space="preserve">N° de riesgos activos por celda (Probabilidad × Impacto)</t>
  </si>
  <si>
    <t xml:space="preserve">Probabilidad ↓ / Impacto →</t>
  </si>
  <si>
    <t xml:space="preserve">Impacto 1</t>
  </si>
  <si>
    <t xml:space="preserve">Impacto 2</t>
  </si>
  <si>
    <t xml:space="preserve">Impacto 3</t>
  </si>
  <si>
    <t xml:space="preserve">Impacto 4</t>
  </si>
  <si>
    <t xml:space="preserve">Impacto 5</t>
  </si>
  <si>
    <t xml:space="preserve">Prob. ↓ / Imp. →</t>
  </si>
  <si>
    <t xml:space="preserve">Imp. 1</t>
  </si>
  <si>
    <t xml:space="preserve">Imp. 2</t>
  </si>
  <si>
    <t xml:space="preserve">Imp. 3</t>
  </si>
  <si>
    <t xml:space="preserve">Imp. 4</t>
  </si>
  <si>
    <t xml:space="preserve">Imp. 5</t>
  </si>
  <si>
    <t xml:space="preserve">Probabilidad 5</t>
  </si>
  <si>
    <t xml:space="preserve">Prob. 5</t>
  </si>
  <si>
    <t xml:space="preserve">Probabilidad 4</t>
  </si>
  <si>
    <t xml:space="preserve">Prob. 4</t>
  </si>
  <si>
    <t xml:space="preserve">Probabilidad 3</t>
  </si>
  <si>
    <t xml:space="preserve">Prob. 3</t>
  </si>
  <si>
    <t xml:space="preserve">Probabilidad 2</t>
  </si>
  <si>
    <t xml:space="preserve">Prob. 2</t>
  </si>
  <si>
    <t xml:space="preserve">Probabilidad 1</t>
  </si>
  <si>
    <t xml:space="preserve">Prob. 1</t>
  </si>
  <si>
    <t xml:space="preserve">Leyenda de nivel de riesgo</t>
  </si>
  <si>
    <t xml:space="preserve">Bajo (1-4)</t>
  </si>
  <si>
    <t xml:space="preserve">Moderado (5-9)</t>
  </si>
  <si>
    <t xml:space="preserve">Alto (10-15)</t>
  </si>
  <si>
    <t xml:space="preserve">Crítico (16-25)</t>
  </si>
  <si>
    <t xml:space="preserve">Riesgos activos por nivel</t>
  </si>
  <si>
    <t xml:space="preserve">Total activos</t>
  </si>
  <si>
    <t xml:space="preserve">Referencia rápida de IDs de riesgos activos (ver detalle completo en 'Registro de Riesgos')</t>
  </si>
  <si>
    <t xml:space="preserve">CAMBIOS DE LA VERSIÓN 2.0 — Matriz de Riesgos CarteraX</t>
  </si>
  <si>
    <t xml:space="preserve">1. Resumen de cambios por riesgo</t>
  </si>
  <si>
    <t xml:space="preserve">Tipo de cambio</t>
  </si>
  <si>
    <t xml:space="preserve">ID(s) riesgo</t>
  </si>
  <si>
    <t xml:space="preserve">Resumen</t>
  </si>
  <si>
    <t xml:space="preserve">Motivo / fuente</t>
  </si>
  <si>
    <t xml:space="preserve">Resolución de conflictos de sincronización (RF-38 v1). El módulo de sincronización Ejecutivo–Supervisor fue eliminado del ERS v2; el riesgo ya no aplica.</t>
  </si>
  <si>
    <t xml:space="preserve">ERS v2, Portada: alcance solo Ejecutivo.</t>
  </si>
  <si>
    <t xml:space="preserve">Modificado</t>
  </si>
  <si>
    <t xml:space="preserve">Pasa de "ERS incorpora sincronización y rol Supervisor" a "Acta v1.1 no refleja el alcance de ERS v2 (solo Ejecutivo + Phoenix Mobile)".</t>
  </si>
  <si>
    <t xml:space="preserve">Se retiró la sincronización/Supervisor y se sumó Mobile.</t>
  </si>
  <si>
    <t xml:space="preserve">Se agrega el empaquetado/firma del APK de Phoenix Mobile; probabilidad 2→3.</t>
  </si>
  <si>
    <t xml:space="preserve">RNF-20; el EDT no tiene tarea para el APK.</t>
  </si>
  <si>
    <t xml:space="preserve">Conteos actualizados (33 RF + 22 RNF; 38 Must) y se incorpora el componente Mobile.</t>
  </si>
  <si>
    <t xml:space="preserve">ERS v2, Resumen de prioridades.</t>
  </si>
  <si>
    <t xml:space="preserve">Conteos (55 requerimientos) y lista de riesgos priorizados para pruebas actualizada (R-02, R-03, R-04, R-20, R-24, R-26).</t>
  </si>
  <si>
    <t xml:space="preserve">ERS v2 y Plan de Pruebas v1.1.</t>
  </si>
  <si>
    <t xml:space="preserve">Se elimina la referencia a la sincronización; se agrega la concurrencia entre importación, gestiones y cola de llamadas.</t>
  </si>
  <si>
    <t xml:space="preserve">ERS v2, RNF-14.</t>
  </si>
  <si>
    <t xml:space="preserve">Actualizado</t>
  </si>
  <si>
    <t xml:space="preserve">R-02, R-03, R-04, R-06, R-07, R-08, R-09, R-13, R-19</t>
  </si>
  <si>
    <t xml:space="preserve">Solo se actualizaron las referencias a IDs de requerimientos (ver tabla 2) y la fuente (ERS v2). P×I sin cambios.</t>
  </si>
  <si>
    <t xml:space="preserve">Renumeración del ERS v2.</t>
  </si>
  <si>
    <t xml:space="preserve">Sin cambios</t>
  </si>
  <si>
    <t xml:space="preserve">R-10, R-11, R-16, R-17</t>
  </si>
  <si>
    <t xml:space="preserve">Se mantienen tal cual (R-17 solo actualiza la lista de documentos).</t>
  </si>
  <si>
    <t xml:space="preserve">—</t>
  </si>
  <si>
    <t xml:space="preserve">Nuevo</t>
  </si>
  <si>
    <t xml:space="preserve">Phoenix Mobile sin tareas en el EDT ni responsable Android en la RACI (GAP crítico).</t>
  </si>
  <si>
    <t xml:space="preserve">ERS v2, hoja Trazabilidad EDT.</t>
  </si>
  <si>
    <t xml:space="preserve">Inestabilidad o bloqueo de la comunicación Desktop↔Mobile por LAN/Wi-Fi.</t>
  </si>
  <si>
    <t xml:space="preserve">RF-28, RF-29, RNF-17.</t>
  </si>
  <si>
    <t xml:space="preserve">Permisos y restricciones de Android que impiden iniciar llamadas.</t>
  </si>
  <si>
    <t xml:space="preserve">RF-29, RNF-16, RNF-21.</t>
  </si>
  <si>
    <t xml:space="preserve">Entorno de pruebas de Mobile no definido (dispositivo con SIM, versión Android, red).</t>
  </si>
  <si>
    <t xml:space="preserve">Plan de Pruebas v1.0, sección 8.</t>
  </si>
  <si>
    <t xml:space="preserve">Reglas de elegibilidad / llamadas simultáneas en la cola de llamadas.</t>
  </si>
  <si>
    <t xml:space="preserve">RF-30 a RF-32, RNF-22.</t>
  </si>
  <si>
    <t xml:space="preserve">EDT desalineado con el ERS v2 (arquitectura, tareas fuera de alcance, RF-25 y RF-27 sin tarea).</t>
  </si>
  <si>
    <t xml:space="preserve">ERS v2, Resumen de Correcciones.</t>
  </si>
  <si>
    <t xml:space="preserve">Canal Desktop→Mobile sin autenticación/cifrado definidos en el ERS.</t>
  </si>
  <si>
    <t xml:space="preserve">RNF-17 (HTTP/REST sobre LAN).</t>
  </si>
  <si>
    <t xml:space="preserve">2. Equivalencia de IDs de requerimientos usados en la matriz (ERS v1 → ERS v2)</t>
  </si>
  <si>
    <t xml:space="preserve">ID en matriz v1</t>
  </si>
  <si>
    <t xml:space="preserve">ID en ERS v2</t>
  </si>
  <si>
    <t xml:space="preserve">Descripción</t>
  </si>
  <si>
    <t xml:space="preserve">RF-09</t>
  </si>
  <si>
    <t xml:space="preserve">RF-08</t>
  </si>
  <si>
    <t xml:space="preserve">Mapeo de columnas equivalentes y validación de encabezados.</t>
  </si>
  <si>
    <t xml:space="preserve">RF-10 / RF-11 / RF-12</t>
  </si>
  <si>
    <t xml:space="preserve">RF-09 / RF-10 / RF-11</t>
  </si>
  <si>
    <t xml:space="preserve">Corrección de formato / detección de inconsistencias / completar campos de normalización.</t>
  </si>
  <si>
    <t xml:space="preserve">RF-13 / RF-14</t>
  </si>
  <si>
    <t xml:space="preserve">RF-12 / RF-13</t>
  </si>
  <si>
    <t xml:space="preserve">Resumen post-importación / conservación del archivo original.</t>
  </si>
  <si>
    <t xml:space="preserve">RF-34</t>
  </si>
  <si>
    <t xml:space="preserve">RF-20</t>
  </si>
  <si>
    <t xml:space="preserve">Clasificación por palabras clave de la última gestión.</t>
  </si>
  <si>
    <t xml:space="preserve">RF-35</t>
  </si>
  <si>
    <t xml:space="preserve">RF-21</t>
  </si>
  <si>
    <t xml:space="preserve">Score/ranking de prioridad.</t>
  </si>
  <si>
    <t xml:space="preserve">RF-36 a RF-38</t>
  </si>
  <si>
    <t xml:space="preserve">— (eliminados)</t>
  </si>
  <si>
    <t xml:space="preserve">Módulo de sincronización Ejecutivo–Supervisor.</t>
  </si>
  <si>
    <t xml:space="preserve">RNF-06 / RNF-07 / RNF-08 / RNF-09</t>
  </si>
  <si>
    <t xml:space="preserve">RNF-04 / RNF-05 / RNF-06 / RNF-07</t>
  </si>
  <si>
    <t xml:space="preserve">Hash de contraseñas / acceso por rol / protección de datos / expiración de sesión.</t>
  </si>
  <si>
    <t xml:space="preserve">RNF-11 / RNF-12</t>
  </si>
  <si>
    <t xml:space="preserve">RNF-09 / RNF-10</t>
  </si>
  <si>
    <t xml:space="preserve">Rendimiento de importación / de dashboards y filtros.</t>
  </si>
  <si>
    <t xml:space="preserve">RNF-14</t>
  </si>
  <si>
    <t xml:space="preserve">RNF-12</t>
  </si>
  <si>
    <t xml:space="preserve">Backup y restauración de la BD local.</t>
  </si>
  <si>
    <t xml:space="preserve">RNF-16</t>
  </si>
  <si>
    <t xml:space="preserve">RNF-18</t>
  </si>
  <si>
    <t xml:space="preserve">Instalación en un computador estándar de oficina.</t>
  </si>
</sst>
</file>

<file path=xl/styles.xml><?xml version="1.0" encoding="utf-8"?>
<styleSheet xmlns="http://schemas.openxmlformats.org/spreadsheetml/2006/main">
  <numFmts count="2">
    <numFmt numFmtId="164" formatCode="General"/>
    <numFmt numFmtId="165" formatCode="General"/>
  </numFmts>
  <fonts count="2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04040"/>
      <name val="Arial"/>
      <family val="0"/>
      <charset val="1"/>
    </font>
    <font>
      <b val="true"/>
      <sz val="10"/>
      <name val="Arial"/>
      <family val="0"/>
      <charset val="1"/>
    </font>
    <font>
      <sz val="10"/>
      <name val="Arial"/>
      <family val="0"/>
      <charset val="1"/>
    </font>
    <font>
      <b val="true"/>
      <sz val="12"/>
      <color rgb="FF1F3864"/>
      <name val="Arial"/>
      <family val="0"/>
      <charset val="1"/>
    </font>
    <font>
      <b val="true"/>
      <sz val="9"/>
      <color rgb="FFFFFFFF"/>
      <name val="Arial"/>
      <family val="0"/>
      <charset val="1"/>
    </font>
    <font>
      <sz val="9"/>
      <name val="Arial"/>
      <family val="0"/>
      <charset val="1"/>
    </font>
    <font>
      <b val="true"/>
      <sz val="9"/>
      <name val="Arial"/>
      <family val="0"/>
      <charset val="1"/>
    </font>
    <font>
      <b val="true"/>
      <sz val="10"/>
      <color rgb="FF1F3864"/>
      <name val="Arial"/>
      <family val="0"/>
      <charset val="1"/>
    </font>
    <font>
      <sz val="9"/>
      <color rgb="FF7F7F7F"/>
      <name val="Arial"/>
      <family val="0"/>
      <charset val="1"/>
    </font>
    <font>
      <b val="true"/>
      <sz val="9"/>
      <color rgb="FF7F7F7F"/>
      <name val="Arial"/>
      <family val="0"/>
      <charset val="1"/>
    </font>
    <font>
      <b val="true"/>
      <sz val="9"/>
      <color rgb="FF1F3864"/>
      <name val="Arial"/>
      <family val="0"/>
      <charset val="1"/>
    </font>
    <font>
      <b val="true"/>
      <sz val="9"/>
      <color rgb="FF1F1F1F"/>
      <name val="Arial"/>
      <family val="0"/>
      <charset val="1"/>
    </font>
    <font>
      <b val="true"/>
      <sz val="11"/>
      <color rgb="FF1F1F1F"/>
      <name val="Arial"/>
      <family val="0"/>
      <charset val="1"/>
    </font>
    <font>
      <b val="true"/>
      <sz val="11"/>
      <color rgb="FF1F3864"/>
      <name val="Arial"/>
      <family val="0"/>
      <charset val="1"/>
    </font>
    <font>
      <b val="true"/>
      <sz val="14"/>
      <color rgb="FF1F3864"/>
      <name val="Arial"/>
      <family val="0"/>
      <charset val="1"/>
    </font>
    <font>
      <b val="true"/>
      <sz val="11"/>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C6E0B4"/>
        <bgColor rgb="FFBFBFBF"/>
      </patternFill>
    </fill>
    <fill>
      <patternFill patternType="solid">
        <fgColor rgb="FFFFE699"/>
        <bgColor rgb="FFF8CBAD"/>
      </patternFill>
    </fill>
    <fill>
      <patternFill patternType="solid">
        <fgColor rgb="FFF8CBAD"/>
        <bgColor rgb="FFFFE699"/>
      </patternFill>
    </fill>
    <fill>
      <patternFill patternType="solid">
        <fgColor rgb="FFFF7C80"/>
        <bgColor rgb="FFFF99CC"/>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16" fillId="5" borderId="2" xfId="0" applyFont="true" applyBorder="true" applyAlignment="true" applyProtection="false">
      <alignment horizontal="center" vertical="center" textRotation="0" wrapText="true" indent="0" shrinkToFit="false"/>
      <protection locked="true" hidden="false"/>
    </xf>
    <xf numFmtId="164" fontId="16" fillId="6" borderId="2" xfId="0" applyFont="true" applyBorder="true" applyAlignment="true" applyProtection="false">
      <alignment horizontal="center" vertical="center" textRotation="0" wrapText="true" indent="0" shrinkToFit="false"/>
      <protection locked="true" hidden="false"/>
    </xf>
    <xf numFmtId="165" fontId="17" fillId="4" borderId="2" xfId="0" applyFont="true" applyBorder="true" applyAlignment="true" applyProtection="false">
      <alignment horizontal="center" vertical="center" textRotation="0" wrapText="true" indent="0" shrinkToFit="false"/>
      <protection locked="true" hidden="false"/>
    </xf>
    <xf numFmtId="165" fontId="17" fillId="5" borderId="2" xfId="0" applyFont="true" applyBorder="true" applyAlignment="true" applyProtection="false">
      <alignment horizontal="center" vertical="center" textRotation="0" wrapText="true" indent="0" shrinkToFit="false"/>
      <protection locked="true" hidden="false"/>
    </xf>
    <xf numFmtId="165" fontId="17" fillId="6" borderId="2" xfId="0" applyFont="true" applyBorder="true" applyAlignment="true" applyProtection="false">
      <alignment horizontal="center" vertical="center" textRotation="0" wrapText="true" indent="0" shrinkToFit="false"/>
      <protection locked="true" hidden="false"/>
    </xf>
    <xf numFmtId="164" fontId="16" fillId="3" borderId="2" xfId="0" applyFont="true" applyBorder="true" applyAlignment="true" applyProtection="false">
      <alignment horizontal="center" vertical="center" textRotation="0" wrapText="true" indent="0" shrinkToFit="false"/>
      <protection locked="true" hidden="false"/>
    </xf>
    <xf numFmtId="165" fontId="17" fillId="3" borderId="2"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center" vertical="center" textRotation="0" wrapText="false" indent="0" shrinkToFit="false"/>
      <protection locked="true" hidden="false"/>
    </xf>
    <xf numFmtId="164" fontId="11" fillId="4" borderId="2"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center" vertical="center" textRotation="0" wrapText="false" indent="0" shrinkToFit="false"/>
      <protection locked="true" hidden="false"/>
    </xf>
    <xf numFmtId="164" fontId="11" fillId="6" borderId="2" xfId="0" applyFont="true" applyBorder="true" applyAlignment="true" applyProtection="false">
      <alignment horizontal="center" vertical="center" textRotation="0" wrapText="false" indent="0" shrinkToFit="false"/>
      <protection locked="true" hidden="false"/>
    </xf>
    <xf numFmtId="165" fontId="11" fillId="0" borderId="2"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7C80"/>
          <bgColor rgb="FF000000"/>
        </patternFill>
      </fill>
    </dxf>
    <dxf>
      <fill>
        <patternFill patternType="solid">
          <fgColor rgb="FFFFE699"/>
          <bgColor rgb="FF000000"/>
        </patternFill>
      </fill>
    </dxf>
    <dxf>
      <fill>
        <patternFill>
          <bgColor rgb="FFFF7C80"/>
        </patternFill>
      </fill>
    </dxf>
    <dxf>
      <fill>
        <patternFill>
          <bgColor rgb="FFF8CBAD"/>
        </patternFill>
      </fill>
    </dxf>
    <dxf>
      <fill>
        <patternFill>
          <bgColor rgb="FFFFE699"/>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7C80"/>
      <rgbColor rgb="FF0066CC"/>
      <rgbColor rgb="FFB7B7B7"/>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7F7F7F"/>
      <rgbColor rgb="FF1F3864"/>
      <rgbColor rgb="FF339966"/>
      <rgbColor rgb="FF003300"/>
      <rgbColor rgb="FF1F1F1F"/>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true" showOutlineSymbols="true" defaultGridColor="true" view="normal" topLeftCell="A22" colorId="64" zoomScale="100" zoomScaleNormal="100" zoomScalePageLayoutView="100" workbookViewId="0">
      <selection pane="topLeft" activeCell="A34" activeCellId="0" sqref="A34"/>
    </sheetView>
  </sheetViews>
  <sheetFormatPr defaultColWidth="9.1484375" defaultRowHeight="15" zeroHeight="false" outlineLevelRow="0" outlineLevelCol="0"/>
  <cols>
    <col collapsed="false" customWidth="true" hidden="false" outlineLevel="0" max="1" min="1" style="0" width="16"/>
    <col collapsed="false" customWidth="true" hidden="false" outlineLevel="0" max="6" min="2" style="0" width="20"/>
  </cols>
  <sheetData>
    <row r="1" customFormat="false" ht="30"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6" hidden="false" customHeight="true" outlineLevel="0" collapsed="false"/>
    <row r="4" customFormat="false" ht="15" hidden="false" customHeight="false" outlineLevel="0" collapsed="false">
      <c r="A4" s="3" t="s">
        <v>2</v>
      </c>
      <c r="B4" s="4" t="s">
        <v>3</v>
      </c>
      <c r="C4" s="4"/>
      <c r="D4" s="4"/>
      <c r="E4" s="4"/>
      <c r="F4" s="4"/>
    </row>
    <row r="5" customFormat="false" ht="15" hidden="false" customHeight="false" outlineLevel="0" collapsed="false">
      <c r="A5" s="3" t="s">
        <v>4</v>
      </c>
      <c r="B5" s="4" t="s">
        <v>5</v>
      </c>
      <c r="C5" s="4"/>
      <c r="D5" s="4"/>
      <c r="E5" s="4"/>
      <c r="F5" s="4"/>
    </row>
    <row r="6" customFormat="false" ht="15" hidden="false" customHeight="false" outlineLevel="0" collapsed="false">
      <c r="A6" s="3" t="s">
        <v>6</v>
      </c>
      <c r="B6" s="4" t="s">
        <v>7</v>
      </c>
      <c r="C6" s="4"/>
      <c r="D6" s="4"/>
      <c r="E6" s="4"/>
      <c r="F6" s="4"/>
    </row>
    <row r="7" customFormat="false" ht="15" hidden="false" customHeight="false" outlineLevel="0" collapsed="false">
      <c r="A7" s="3" t="s">
        <v>8</v>
      </c>
      <c r="B7" s="4" t="s">
        <v>9</v>
      </c>
      <c r="C7" s="4"/>
      <c r="D7" s="4"/>
      <c r="E7" s="4"/>
      <c r="F7" s="4"/>
    </row>
    <row r="8" customFormat="false" ht="15" hidden="false" customHeight="false" outlineLevel="0" collapsed="false">
      <c r="A8" s="3" t="s">
        <v>10</v>
      </c>
      <c r="B8" s="4" t="s">
        <v>11</v>
      </c>
      <c r="C8" s="4"/>
      <c r="D8" s="4"/>
      <c r="E8" s="4"/>
      <c r="F8" s="4"/>
    </row>
    <row r="10" customFormat="false" ht="15.75" hidden="false" customHeight="true" outlineLevel="0" collapsed="false">
      <c r="A10" s="5" t="s">
        <v>12</v>
      </c>
      <c r="B10" s="5"/>
      <c r="C10" s="5"/>
      <c r="D10" s="5"/>
      <c r="E10" s="5"/>
      <c r="F10" s="5"/>
    </row>
    <row r="11" customFormat="false" ht="54.75" hidden="false" customHeight="true" outlineLevel="0" collapsed="false">
      <c r="A11" s="6" t="s">
        <v>13</v>
      </c>
      <c r="B11" s="6"/>
      <c r="C11" s="6"/>
      <c r="D11" s="6"/>
      <c r="E11" s="6"/>
      <c r="F11" s="6"/>
    </row>
    <row r="12" customFormat="false" ht="15" hidden="false" customHeight="false" outlineLevel="0" collapsed="false">
      <c r="A12" s="7" t="s">
        <v>14</v>
      </c>
      <c r="B12" s="7" t="s">
        <v>15</v>
      </c>
      <c r="C12" s="7" t="s">
        <v>16</v>
      </c>
    </row>
    <row r="13" customFormat="false" ht="25.5" hidden="false" customHeight="true" outlineLevel="0" collapsed="false">
      <c r="A13" s="8" t="n">
        <v>1</v>
      </c>
      <c r="B13" s="9" t="s">
        <v>17</v>
      </c>
      <c r="C13" s="9" t="s">
        <v>18</v>
      </c>
    </row>
    <row r="14" customFormat="false" ht="25.5" hidden="false" customHeight="true" outlineLevel="0" collapsed="false">
      <c r="A14" s="8" t="n">
        <v>2</v>
      </c>
      <c r="B14" s="9" t="s">
        <v>19</v>
      </c>
      <c r="C14" s="9" t="s">
        <v>20</v>
      </c>
    </row>
    <row r="15" customFormat="false" ht="25.5" hidden="false" customHeight="true" outlineLevel="0" collapsed="false">
      <c r="A15" s="8" t="n">
        <v>3</v>
      </c>
      <c r="B15" s="9" t="s">
        <v>21</v>
      </c>
      <c r="C15" s="9" t="s">
        <v>22</v>
      </c>
    </row>
    <row r="16" customFormat="false" ht="25.5" hidden="false" customHeight="true" outlineLevel="0" collapsed="false">
      <c r="A16" s="8" t="n">
        <v>4</v>
      </c>
      <c r="B16" s="9" t="s">
        <v>23</v>
      </c>
      <c r="C16" s="9" t="s">
        <v>24</v>
      </c>
    </row>
    <row r="17" customFormat="false" ht="25.5" hidden="false" customHeight="true" outlineLevel="0" collapsed="false">
      <c r="A17" s="8" t="n">
        <v>5</v>
      </c>
      <c r="B17" s="9" t="s">
        <v>25</v>
      </c>
      <c r="C17" s="9" t="s">
        <v>26</v>
      </c>
    </row>
    <row r="19" customFormat="false" ht="15.75" hidden="false" customHeight="true" outlineLevel="0" collapsed="false">
      <c r="A19" s="5" t="s">
        <v>27</v>
      </c>
      <c r="B19" s="5"/>
      <c r="C19" s="5"/>
      <c r="D19" s="5"/>
      <c r="E19" s="5"/>
      <c r="F19" s="5"/>
    </row>
    <row r="20" customFormat="false" ht="15" hidden="false" customHeight="false" outlineLevel="0" collapsed="false">
      <c r="A20" s="7" t="s">
        <v>28</v>
      </c>
      <c r="B20" s="7" t="s">
        <v>29</v>
      </c>
      <c r="C20" s="10" t="s">
        <v>30</v>
      </c>
      <c r="D20" s="10"/>
      <c r="E20" s="10"/>
      <c r="F20" s="10"/>
    </row>
    <row r="21" customFormat="false" ht="25.5" hidden="false" customHeight="true" outlineLevel="0" collapsed="false">
      <c r="A21" s="8" t="s">
        <v>31</v>
      </c>
      <c r="B21" s="11" t="s">
        <v>32</v>
      </c>
      <c r="C21" s="12" t="s">
        <v>33</v>
      </c>
      <c r="D21" s="12"/>
      <c r="E21" s="12"/>
      <c r="F21" s="12"/>
    </row>
    <row r="22" customFormat="false" ht="25.5" hidden="false" customHeight="true" outlineLevel="0" collapsed="false">
      <c r="A22" s="8" t="s">
        <v>34</v>
      </c>
      <c r="B22" s="13" t="s">
        <v>35</v>
      </c>
      <c r="C22" s="12" t="s">
        <v>36</v>
      </c>
      <c r="D22" s="12"/>
      <c r="E22" s="12"/>
      <c r="F22" s="12"/>
    </row>
    <row r="23" customFormat="false" ht="25.5" hidden="false" customHeight="true" outlineLevel="0" collapsed="false">
      <c r="A23" s="8" t="s">
        <v>37</v>
      </c>
      <c r="B23" s="14" t="s">
        <v>38</v>
      </c>
      <c r="C23" s="12" t="s">
        <v>39</v>
      </c>
      <c r="D23" s="12"/>
      <c r="E23" s="12"/>
      <c r="F23" s="12"/>
    </row>
    <row r="24" customFormat="false" ht="25.5" hidden="false" customHeight="true" outlineLevel="0" collapsed="false">
      <c r="A24" s="8" t="s">
        <v>40</v>
      </c>
      <c r="B24" s="15" t="s">
        <v>41</v>
      </c>
      <c r="C24" s="12" t="s">
        <v>42</v>
      </c>
      <c r="D24" s="12"/>
      <c r="E24" s="12"/>
      <c r="F24" s="12"/>
    </row>
    <row r="26" customFormat="false" ht="15.75" hidden="false" customHeight="true" outlineLevel="0" collapsed="false">
      <c r="A26" s="5" t="s">
        <v>43</v>
      </c>
      <c r="B26" s="5"/>
      <c r="C26" s="5"/>
      <c r="D26" s="5"/>
      <c r="E26" s="5"/>
      <c r="F26" s="5"/>
    </row>
    <row r="27" customFormat="false" ht="84" hidden="false" customHeight="true" outlineLevel="0" collapsed="false">
      <c r="A27" s="6" t="s">
        <v>44</v>
      </c>
      <c r="B27" s="6"/>
      <c r="C27" s="6"/>
      <c r="D27" s="6"/>
      <c r="E27" s="6"/>
      <c r="F27" s="6"/>
    </row>
    <row r="29" customFormat="false" ht="15.75" hidden="false" customHeight="true" outlineLevel="0" collapsed="false">
      <c r="A29" s="5" t="s">
        <v>45</v>
      </c>
      <c r="B29" s="5"/>
      <c r="C29" s="5"/>
      <c r="D29" s="5"/>
      <c r="E29" s="5"/>
      <c r="F29" s="5"/>
    </row>
    <row r="30" customFormat="false" ht="37.5" hidden="false" customHeight="true" outlineLevel="0" collapsed="false">
      <c r="A30" s="6" t="s">
        <v>46</v>
      </c>
      <c r="B30" s="6"/>
      <c r="C30" s="6"/>
      <c r="D30" s="6"/>
      <c r="E30" s="6"/>
      <c r="F30" s="6"/>
    </row>
    <row r="31" customFormat="false" ht="30" hidden="false" customHeight="true" outlineLevel="0" collapsed="false">
      <c r="A31" s="6" t="s">
        <v>47</v>
      </c>
      <c r="B31" s="6"/>
      <c r="C31" s="6"/>
      <c r="D31" s="6"/>
      <c r="E31" s="6"/>
      <c r="F31" s="6"/>
    </row>
    <row r="33" customFormat="false" ht="15.75" hidden="false" customHeight="true" outlineLevel="0" collapsed="false">
      <c r="A33" s="5" t="s">
        <v>48</v>
      </c>
      <c r="B33" s="5"/>
      <c r="C33" s="5"/>
      <c r="D33" s="5"/>
      <c r="E33" s="5"/>
      <c r="F33" s="5"/>
    </row>
    <row r="34" customFormat="false" ht="54.75" hidden="false" customHeight="true" outlineLevel="0" collapsed="false">
      <c r="A34" s="6" t="s">
        <v>49</v>
      </c>
      <c r="B34" s="6"/>
      <c r="C34" s="6"/>
      <c r="D34" s="6"/>
      <c r="E34" s="6"/>
      <c r="F34" s="6"/>
    </row>
  </sheetData>
  <mergeCells count="22">
    <mergeCell ref="A1:F1"/>
    <mergeCell ref="A2:F2"/>
    <mergeCell ref="B4:F4"/>
    <mergeCell ref="B5:F5"/>
    <mergeCell ref="B6:F6"/>
    <mergeCell ref="B7:F7"/>
    <mergeCell ref="B8:F8"/>
    <mergeCell ref="A10:F10"/>
    <mergeCell ref="A11:F11"/>
    <mergeCell ref="A19:F19"/>
    <mergeCell ref="C20:F20"/>
    <mergeCell ref="C21:F21"/>
    <mergeCell ref="C22:F22"/>
    <mergeCell ref="C23:F23"/>
    <mergeCell ref="C24:F24"/>
    <mergeCell ref="A26:F26"/>
    <mergeCell ref="A27:F27"/>
    <mergeCell ref="A29:F29"/>
    <mergeCell ref="A30:F30"/>
    <mergeCell ref="A31:F31"/>
    <mergeCell ref="A33:F33"/>
    <mergeCell ref="A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9.14843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46"/>
    <col collapsed="false" customWidth="true" hidden="false" outlineLevel="0" max="4" min="4" style="0" width="38"/>
    <col collapsed="false" customWidth="true" hidden="false" outlineLevel="0" max="5" min="5" style="0" width="16"/>
    <col collapsed="false" customWidth="true" hidden="false" outlineLevel="0" max="6" min="6" style="0" width="22"/>
    <col collapsed="false" customWidth="true" hidden="false" outlineLevel="0" max="8" min="7" style="0" width="7"/>
    <col collapsed="false" customWidth="true" hidden="false" outlineLevel="0" max="9" min="9" style="0" width="13"/>
    <col collapsed="false" customWidth="true" hidden="false" outlineLevel="0" max="10" min="10" style="0" width="11"/>
    <col collapsed="false" customWidth="true" hidden="false" outlineLevel="0" max="11" min="11" style="0" width="50"/>
    <col collapsed="false" customWidth="true" hidden="false" outlineLevel="0" max="12" min="12" style="0" width="18"/>
    <col collapsed="false" customWidth="true" hidden="false" outlineLevel="0" max="13" min="13" style="0" width="34"/>
    <col collapsed="false" customWidth="true" hidden="false" outlineLevel="0" max="15" min="14" style="0" width="26"/>
  </cols>
  <sheetData>
    <row r="1" customFormat="false" ht="30" hidden="false" customHeight="true" outlineLevel="0" collapsed="false">
      <c r="A1" s="1" t="s">
        <v>50</v>
      </c>
      <c r="B1" s="1"/>
      <c r="C1" s="1"/>
      <c r="D1" s="1"/>
      <c r="E1" s="1"/>
      <c r="F1" s="1"/>
      <c r="G1" s="1"/>
      <c r="H1" s="1"/>
      <c r="I1" s="1"/>
      <c r="J1" s="1"/>
      <c r="K1" s="1"/>
      <c r="L1" s="1"/>
      <c r="M1" s="1"/>
      <c r="N1" s="1"/>
      <c r="O1" s="1"/>
    </row>
    <row r="2" customFormat="false" ht="6" hidden="false" customHeight="true" outlineLevel="0" collapsed="false"/>
    <row r="3" customFormat="false" ht="42" hidden="false" customHeight="true" outlineLevel="0" collapsed="false">
      <c r="A3" s="7" t="s">
        <v>51</v>
      </c>
      <c r="B3" s="7" t="s">
        <v>52</v>
      </c>
      <c r="C3" s="7" t="s">
        <v>53</v>
      </c>
      <c r="D3" s="7" t="s">
        <v>54</v>
      </c>
      <c r="E3" s="7" t="s">
        <v>55</v>
      </c>
      <c r="F3" s="7" t="s">
        <v>56</v>
      </c>
      <c r="G3" s="7" t="s">
        <v>57</v>
      </c>
      <c r="H3" s="7" t="s">
        <v>58</v>
      </c>
      <c r="I3" s="7" t="s">
        <v>59</v>
      </c>
      <c r="J3" s="7" t="s">
        <v>60</v>
      </c>
      <c r="K3" s="7" t="s">
        <v>61</v>
      </c>
      <c r="L3" s="7" t="s">
        <v>62</v>
      </c>
      <c r="M3" s="7" t="s">
        <v>63</v>
      </c>
      <c r="N3" s="7" t="s">
        <v>64</v>
      </c>
      <c r="O3" s="7" t="s">
        <v>65</v>
      </c>
    </row>
    <row r="4" customFormat="false" ht="97.5" hidden="false" customHeight="true" outlineLevel="0" collapsed="false">
      <c r="A4" s="16" t="s">
        <v>66</v>
      </c>
      <c r="B4" s="17" t="s">
        <v>67</v>
      </c>
      <c r="C4" s="17" t="s">
        <v>68</v>
      </c>
      <c r="D4" s="17" t="s">
        <v>69</v>
      </c>
      <c r="E4" s="18" t="s">
        <v>70</v>
      </c>
      <c r="F4" s="17" t="s">
        <v>71</v>
      </c>
      <c r="G4" s="19" t="n">
        <v>4</v>
      </c>
      <c r="H4" s="19" t="n">
        <v>4</v>
      </c>
      <c r="I4" s="20" t="str">
        <f aca="false">G4*H4&amp;" – "&amp;IF(G4*H4&gt;=16,"Crítico",IF(G4*H4&gt;=10,"Alto",IF(G4*H4&gt;=5,"Moderado","Bajo")))</f>
        <v>16 – Crítico</v>
      </c>
      <c r="J4" s="18" t="s">
        <v>72</v>
      </c>
      <c r="K4" s="17" t="s">
        <v>73</v>
      </c>
      <c r="L4" s="17" t="s">
        <v>74</v>
      </c>
      <c r="M4" s="17" t="s">
        <v>75</v>
      </c>
      <c r="N4" s="17" t="s">
        <v>76</v>
      </c>
      <c r="O4" s="17" t="s">
        <v>77</v>
      </c>
    </row>
    <row r="5" customFormat="false" ht="75" hidden="false" customHeight="true" outlineLevel="0" collapsed="false">
      <c r="A5" s="16" t="s">
        <v>78</v>
      </c>
      <c r="B5" s="17" t="s">
        <v>79</v>
      </c>
      <c r="C5" s="17" t="s">
        <v>80</v>
      </c>
      <c r="D5" s="17" t="s">
        <v>81</v>
      </c>
      <c r="E5" s="18" t="s">
        <v>82</v>
      </c>
      <c r="F5" s="17" t="s">
        <v>83</v>
      </c>
      <c r="G5" s="19" t="n">
        <v>5</v>
      </c>
      <c r="H5" s="19" t="n">
        <v>4</v>
      </c>
      <c r="I5" s="20" t="str">
        <f aca="false">G5*H5&amp;" – "&amp;IF(G5*H5&gt;=16,"Crítico",IF(G5*H5&gt;=10,"Alto",IF(G5*H5&gt;=5,"Moderado","Bajo")))</f>
        <v>20 – Crítico</v>
      </c>
      <c r="J5" s="18" t="s">
        <v>72</v>
      </c>
      <c r="K5" s="17" t="s">
        <v>84</v>
      </c>
      <c r="L5" s="17" t="s">
        <v>85</v>
      </c>
      <c r="M5" s="17" t="s">
        <v>86</v>
      </c>
      <c r="N5" s="17" t="s">
        <v>87</v>
      </c>
      <c r="O5" s="17" t="s">
        <v>88</v>
      </c>
    </row>
    <row r="6" customFormat="false" ht="75" hidden="false" customHeight="true" outlineLevel="0" collapsed="false">
      <c r="A6" s="16" t="s">
        <v>89</v>
      </c>
      <c r="B6" s="17" t="s">
        <v>90</v>
      </c>
      <c r="C6" s="17" t="s">
        <v>91</v>
      </c>
      <c r="D6" s="17" t="s">
        <v>92</v>
      </c>
      <c r="E6" s="18" t="s">
        <v>82</v>
      </c>
      <c r="F6" s="17" t="s">
        <v>93</v>
      </c>
      <c r="G6" s="19" t="n">
        <v>4</v>
      </c>
      <c r="H6" s="19" t="n">
        <v>5</v>
      </c>
      <c r="I6" s="20" t="str">
        <f aca="false">G6*H6&amp;" – "&amp;IF(G6*H6&gt;=16,"Crítico",IF(G6*H6&gt;=10,"Alto",IF(G6*H6&gt;=5,"Moderado","Bajo")))</f>
        <v>20 – Crítico</v>
      </c>
      <c r="J6" s="18" t="s">
        <v>72</v>
      </c>
      <c r="K6" s="17" t="s">
        <v>94</v>
      </c>
      <c r="L6" s="17" t="s">
        <v>95</v>
      </c>
      <c r="M6" s="17" t="s">
        <v>96</v>
      </c>
      <c r="N6" s="17" t="s">
        <v>97</v>
      </c>
      <c r="O6" s="17" t="s">
        <v>98</v>
      </c>
    </row>
    <row r="7" customFormat="false" ht="75" hidden="false" customHeight="true" outlineLevel="0" collapsed="false">
      <c r="A7" s="16" t="s">
        <v>99</v>
      </c>
      <c r="B7" s="17" t="s">
        <v>90</v>
      </c>
      <c r="C7" s="17" t="s">
        <v>100</v>
      </c>
      <c r="D7" s="17" t="s">
        <v>101</v>
      </c>
      <c r="E7" s="18" t="s">
        <v>102</v>
      </c>
      <c r="F7" s="17" t="s">
        <v>93</v>
      </c>
      <c r="G7" s="19" t="n">
        <v>4</v>
      </c>
      <c r="H7" s="19" t="n">
        <v>3</v>
      </c>
      <c r="I7" s="20" t="str">
        <f aca="false">G7*H7&amp;" – "&amp;IF(G7*H7&gt;=16,"Crítico",IF(G7*H7&gt;=10,"Alto",IF(G7*H7&gt;=5,"Moderado","Bajo")))</f>
        <v>12 – Alto</v>
      </c>
      <c r="J7" s="18" t="s">
        <v>72</v>
      </c>
      <c r="K7" s="17" t="s">
        <v>103</v>
      </c>
      <c r="L7" s="17" t="s">
        <v>85</v>
      </c>
      <c r="M7" s="17" t="s">
        <v>104</v>
      </c>
      <c r="N7" s="17" t="s">
        <v>105</v>
      </c>
      <c r="O7" s="17" t="s">
        <v>106</v>
      </c>
    </row>
    <row r="8" customFormat="false" ht="63" hidden="false" customHeight="true" outlineLevel="0" collapsed="false">
      <c r="A8" s="16" t="s">
        <v>107</v>
      </c>
      <c r="B8" s="17" t="s">
        <v>108</v>
      </c>
      <c r="C8" s="17" t="s">
        <v>109</v>
      </c>
      <c r="D8" s="17" t="s">
        <v>110</v>
      </c>
      <c r="E8" s="18" t="s">
        <v>111</v>
      </c>
      <c r="F8" s="17" t="s">
        <v>112</v>
      </c>
      <c r="G8" s="19" t="n">
        <v>3</v>
      </c>
      <c r="H8" s="19" t="n">
        <v>5</v>
      </c>
      <c r="I8" s="20" t="str">
        <f aca="false">G8*H8&amp;" – "&amp;IF(G8*H8&gt;=16,"Crítico",IF(G8*H8&gt;=10,"Alto",IF(G8*H8&gt;=5,"Moderado","Bajo")))</f>
        <v>15 – Alto</v>
      </c>
      <c r="J8" s="18" t="s">
        <v>72</v>
      </c>
      <c r="K8" s="17" t="s">
        <v>113</v>
      </c>
      <c r="L8" s="17" t="s">
        <v>74</v>
      </c>
      <c r="M8" s="17" t="s">
        <v>114</v>
      </c>
      <c r="N8" s="17" t="s">
        <v>115</v>
      </c>
      <c r="O8" s="17" t="s">
        <v>116</v>
      </c>
    </row>
    <row r="9" customFormat="false" ht="51.75" hidden="false" customHeight="true" outlineLevel="0" collapsed="false">
      <c r="A9" s="16" t="s">
        <v>117</v>
      </c>
      <c r="B9" s="17" t="s">
        <v>118</v>
      </c>
      <c r="C9" s="17" t="s">
        <v>119</v>
      </c>
      <c r="D9" s="17" t="s">
        <v>120</v>
      </c>
      <c r="E9" s="18" t="s">
        <v>121</v>
      </c>
      <c r="F9" s="17" t="s">
        <v>112</v>
      </c>
      <c r="G9" s="19" t="n">
        <v>2</v>
      </c>
      <c r="H9" s="19" t="n">
        <v>5</v>
      </c>
      <c r="I9" s="20" t="str">
        <f aca="false">G9*H9&amp;" – "&amp;IF(G9*H9&gt;=16,"Crítico",IF(G9*H9&gt;=10,"Alto",IF(G9*H9&gt;=5,"Moderado","Bajo")))</f>
        <v>10 – Alto</v>
      </c>
      <c r="J9" s="18" t="s">
        <v>72</v>
      </c>
      <c r="K9" s="17" t="s">
        <v>122</v>
      </c>
      <c r="L9" s="17" t="s">
        <v>74</v>
      </c>
      <c r="M9" s="17" t="s">
        <v>123</v>
      </c>
      <c r="N9" s="17" t="s">
        <v>124</v>
      </c>
      <c r="O9" s="17" t="s">
        <v>125</v>
      </c>
    </row>
    <row r="10" customFormat="false" ht="51.75" hidden="false" customHeight="true" outlineLevel="0" collapsed="false">
      <c r="A10" s="16" t="s">
        <v>126</v>
      </c>
      <c r="B10" s="17" t="s">
        <v>127</v>
      </c>
      <c r="C10" s="17" t="s">
        <v>128</v>
      </c>
      <c r="D10" s="17" t="s">
        <v>129</v>
      </c>
      <c r="E10" s="18" t="s">
        <v>102</v>
      </c>
      <c r="F10" s="17" t="s">
        <v>130</v>
      </c>
      <c r="G10" s="19" t="n">
        <v>3</v>
      </c>
      <c r="H10" s="19" t="n">
        <v>3</v>
      </c>
      <c r="I10" s="20" t="str">
        <f aca="false">G10*H10&amp;" – "&amp;IF(G10*H10&gt;=16,"Crítico",IF(G10*H10&gt;=10,"Alto",IF(G10*H10&gt;=5,"Moderado","Bajo")))</f>
        <v>9 – Moderado</v>
      </c>
      <c r="J10" s="18" t="s">
        <v>72</v>
      </c>
      <c r="K10" s="17" t="s">
        <v>131</v>
      </c>
      <c r="L10" s="17" t="s">
        <v>95</v>
      </c>
      <c r="M10" s="17" t="s">
        <v>132</v>
      </c>
      <c r="N10" s="17" t="s">
        <v>133</v>
      </c>
      <c r="O10" s="17" t="s">
        <v>134</v>
      </c>
    </row>
    <row r="11" customFormat="false" ht="63" hidden="false" customHeight="true" outlineLevel="0" collapsed="false">
      <c r="A11" s="16" t="s">
        <v>135</v>
      </c>
      <c r="B11" s="17" t="s">
        <v>136</v>
      </c>
      <c r="C11" s="17" t="s">
        <v>137</v>
      </c>
      <c r="D11" s="17" t="s">
        <v>138</v>
      </c>
      <c r="E11" s="18" t="s">
        <v>102</v>
      </c>
      <c r="F11" s="17" t="s">
        <v>139</v>
      </c>
      <c r="G11" s="19" t="n">
        <v>3</v>
      </c>
      <c r="H11" s="19" t="n">
        <v>4</v>
      </c>
      <c r="I11" s="20" t="str">
        <f aca="false">G11*H11&amp;" – "&amp;IF(G11*H11&gt;=16,"Crítico",IF(G11*H11&gt;=10,"Alto",IF(G11*H11&gt;=5,"Moderado","Bajo")))</f>
        <v>12 – Alto</v>
      </c>
      <c r="J11" s="18" t="s">
        <v>72</v>
      </c>
      <c r="K11" s="17" t="s">
        <v>140</v>
      </c>
      <c r="L11" s="17" t="s">
        <v>85</v>
      </c>
      <c r="M11" s="17" t="s">
        <v>141</v>
      </c>
      <c r="N11" s="17" t="s">
        <v>142</v>
      </c>
      <c r="O11" s="17" t="s">
        <v>143</v>
      </c>
    </row>
    <row r="12" customFormat="false" ht="51.75" hidden="false" customHeight="true" outlineLevel="0" collapsed="false">
      <c r="A12" s="16" t="s">
        <v>144</v>
      </c>
      <c r="B12" s="17" t="s">
        <v>145</v>
      </c>
      <c r="C12" s="17" t="s">
        <v>146</v>
      </c>
      <c r="D12" s="17" t="s">
        <v>147</v>
      </c>
      <c r="E12" s="18" t="s">
        <v>148</v>
      </c>
      <c r="F12" s="17" t="s">
        <v>139</v>
      </c>
      <c r="G12" s="19" t="n">
        <v>4</v>
      </c>
      <c r="H12" s="19" t="n">
        <v>3</v>
      </c>
      <c r="I12" s="20" t="str">
        <f aca="false">G12*H12&amp;" – "&amp;IF(G12*H12&gt;=16,"Crítico",IF(G12*H12&gt;=10,"Alto",IF(G12*H12&gt;=5,"Moderado","Bajo")))</f>
        <v>12 – Alto</v>
      </c>
      <c r="J12" s="18" t="s">
        <v>72</v>
      </c>
      <c r="K12" s="17" t="s">
        <v>149</v>
      </c>
      <c r="L12" s="17" t="s">
        <v>85</v>
      </c>
      <c r="M12" s="17" t="s">
        <v>150</v>
      </c>
      <c r="N12" s="17" t="s">
        <v>151</v>
      </c>
      <c r="O12" s="17" t="s">
        <v>152</v>
      </c>
    </row>
    <row r="13" customFormat="false" ht="40.5" hidden="false" customHeight="true" outlineLevel="0" collapsed="false">
      <c r="A13" s="16" t="s">
        <v>153</v>
      </c>
      <c r="B13" s="17" t="s">
        <v>154</v>
      </c>
      <c r="C13" s="17" t="s">
        <v>155</v>
      </c>
      <c r="D13" s="17" t="s">
        <v>156</v>
      </c>
      <c r="E13" s="18" t="s">
        <v>157</v>
      </c>
      <c r="F13" s="17" t="s">
        <v>158</v>
      </c>
      <c r="G13" s="19" t="n">
        <v>3</v>
      </c>
      <c r="H13" s="19" t="n">
        <v>3</v>
      </c>
      <c r="I13" s="20" t="str">
        <f aca="false">G13*H13&amp;" – "&amp;IF(G13*H13&gt;=16,"Crítico",IF(G13*H13&gt;=10,"Alto",IF(G13*H13&gt;=5,"Moderado","Bajo")))</f>
        <v>9 – Moderado</v>
      </c>
      <c r="J13" s="18" t="s">
        <v>72</v>
      </c>
      <c r="K13" s="17" t="s">
        <v>159</v>
      </c>
      <c r="L13" s="17" t="s">
        <v>160</v>
      </c>
      <c r="M13" s="17" t="s">
        <v>161</v>
      </c>
      <c r="N13" s="17" t="s">
        <v>151</v>
      </c>
      <c r="O13" s="17" t="s">
        <v>162</v>
      </c>
    </row>
    <row r="14" customFormat="false" ht="97.5" hidden="false" customHeight="true" outlineLevel="0" collapsed="false">
      <c r="A14" s="16" t="s">
        <v>163</v>
      </c>
      <c r="B14" s="17" t="s">
        <v>164</v>
      </c>
      <c r="C14" s="17" t="s">
        <v>165</v>
      </c>
      <c r="D14" s="17" t="s">
        <v>166</v>
      </c>
      <c r="E14" s="18" t="s">
        <v>167</v>
      </c>
      <c r="F14" s="17" t="s">
        <v>168</v>
      </c>
      <c r="G14" s="19" t="n">
        <v>3</v>
      </c>
      <c r="H14" s="19" t="n">
        <v>3</v>
      </c>
      <c r="I14" s="20" t="str">
        <f aca="false">G14*H14&amp;" – "&amp;IF(G14*H14&gt;=16,"Crítico",IF(G14*H14&gt;=10,"Alto",IF(G14*H14&gt;=5,"Moderado","Bajo")))</f>
        <v>9 – Moderado</v>
      </c>
      <c r="J14" s="18" t="s">
        <v>72</v>
      </c>
      <c r="K14" s="17" t="s">
        <v>169</v>
      </c>
      <c r="L14" s="17" t="s">
        <v>74</v>
      </c>
      <c r="M14" s="17" t="s">
        <v>170</v>
      </c>
      <c r="N14" s="17" t="s">
        <v>171</v>
      </c>
      <c r="O14" s="17" t="s">
        <v>172</v>
      </c>
    </row>
    <row r="15" customFormat="false" ht="63" hidden="false" customHeight="true" outlineLevel="0" collapsed="false">
      <c r="A15" s="16" t="s">
        <v>173</v>
      </c>
      <c r="B15" s="17" t="s">
        <v>174</v>
      </c>
      <c r="C15" s="17" t="s">
        <v>175</v>
      </c>
      <c r="D15" s="17" t="s">
        <v>176</v>
      </c>
      <c r="E15" s="18" t="s">
        <v>177</v>
      </c>
      <c r="F15" s="17" t="s">
        <v>178</v>
      </c>
      <c r="G15" s="19" t="n">
        <v>2</v>
      </c>
      <c r="H15" s="19" t="n">
        <v>4</v>
      </c>
      <c r="I15" s="20" t="str">
        <f aca="false">G15*H15&amp;" – "&amp;IF(G15*H15&gt;=16,"Crítico",IF(G15*H15&gt;=10,"Alto",IF(G15*H15&gt;=5,"Moderado","Bajo")))</f>
        <v>8 – Moderado</v>
      </c>
      <c r="J15" s="18" t="s">
        <v>72</v>
      </c>
      <c r="K15" s="17" t="s">
        <v>179</v>
      </c>
      <c r="L15" s="17" t="s">
        <v>74</v>
      </c>
      <c r="M15" s="17" t="s">
        <v>180</v>
      </c>
      <c r="N15" s="17" t="s">
        <v>181</v>
      </c>
      <c r="O15" s="17" t="s">
        <v>182</v>
      </c>
    </row>
    <row r="16" customFormat="false" ht="63" hidden="false" customHeight="true" outlineLevel="0" collapsed="false">
      <c r="A16" s="16" t="s">
        <v>183</v>
      </c>
      <c r="B16" s="17" t="s">
        <v>184</v>
      </c>
      <c r="C16" s="17" t="s">
        <v>185</v>
      </c>
      <c r="D16" s="17" t="s">
        <v>186</v>
      </c>
      <c r="E16" s="18" t="s">
        <v>70</v>
      </c>
      <c r="F16" s="17" t="s">
        <v>187</v>
      </c>
      <c r="G16" s="19" t="n">
        <v>4</v>
      </c>
      <c r="H16" s="19" t="n">
        <v>4</v>
      </c>
      <c r="I16" s="20" t="str">
        <f aca="false">G16*H16&amp;" – "&amp;IF(G16*H16&gt;=16,"Crítico",IF(G16*H16&gt;=10,"Alto",IF(G16*H16&gt;=5,"Moderado","Bajo")))</f>
        <v>16 – Crítico</v>
      </c>
      <c r="J16" s="18" t="s">
        <v>72</v>
      </c>
      <c r="K16" s="17" t="s">
        <v>188</v>
      </c>
      <c r="L16" s="17" t="s">
        <v>74</v>
      </c>
      <c r="M16" s="17" t="s">
        <v>189</v>
      </c>
      <c r="N16" s="17" t="s">
        <v>190</v>
      </c>
      <c r="O16" s="17" t="s">
        <v>191</v>
      </c>
    </row>
    <row r="17" customFormat="false" ht="75" hidden="false" customHeight="true" outlineLevel="0" collapsed="false">
      <c r="A17" s="16" t="s">
        <v>192</v>
      </c>
      <c r="B17" s="17" t="s">
        <v>193</v>
      </c>
      <c r="C17" s="17" t="s">
        <v>194</v>
      </c>
      <c r="D17" s="17" t="s">
        <v>195</v>
      </c>
      <c r="E17" s="18" t="s">
        <v>196</v>
      </c>
      <c r="F17" s="17" t="s">
        <v>197</v>
      </c>
      <c r="G17" s="19" t="n">
        <v>3</v>
      </c>
      <c r="H17" s="19" t="n">
        <v>4</v>
      </c>
      <c r="I17" s="20" t="str">
        <f aca="false">G17*H17&amp;" – "&amp;IF(G17*H17&gt;=16,"Crítico",IF(G17*H17&gt;=10,"Alto",IF(G17*H17&gt;=5,"Moderado","Bajo")))</f>
        <v>12 – Alto</v>
      </c>
      <c r="J17" s="18" t="s">
        <v>72</v>
      </c>
      <c r="K17" s="17" t="s">
        <v>198</v>
      </c>
      <c r="L17" s="17" t="s">
        <v>85</v>
      </c>
      <c r="M17" s="17" t="s">
        <v>199</v>
      </c>
      <c r="N17" s="17" t="s">
        <v>200</v>
      </c>
      <c r="O17" s="17" t="s">
        <v>201</v>
      </c>
    </row>
    <row r="18" customFormat="false" ht="51.75" hidden="false" customHeight="true" outlineLevel="0" collapsed="false">
      <c r="A18" s="16" t="s">
        <v>202</v>
      </c>
      <c r="B18" s="17" t="s">
        <v>203</v>
      </c>
      <c r="C18" s="17" t="s">
        <v>204</v>
      </c>
      <c r="D18" s="17" t="s">
        <v>205</v>
      </c>
      <c r="E18" s="18" t="s">
        <v>70</v>
      </c>
      <c r="F18" s="17" t="s">
        <v>206</v>
      </c>
      <c r="G18" s="19" t="n">
        <v>3</v>
      </c>
      <c r="H18" s="19" t="n">
        <v>3</v>
      </c>
      <c r="I18" s="20" t="str">
        <f aca="false">G18*H18&amp;" – "&amp;IF(G18*H18&gt;=16,"Crítico",IF(G18*H18&gt;=10,"Alto",IF(G18*H18&gt;=5,"Moderado","Bajo")))</f>
        <v>9 – Moderado</v>
      </c>
      <c r="J18" s="18" t="s">
        <v>72</v>
      </c>
      <c r="K18" s="17" t="s">
        <v>207</v>
      </c>
      <c r="L18" s="17" t="s">
        <v>160</v>
      </c>
      <c r="M18" s="17" t="s">
        <v>208</v>
      </c>
      <c r="N18" s="17" t="s">
        <v>151</v>
      </c>
      <c r="O18" s="17" t="s">
        <v>209</v>
      </c>
    </row>
    <row r="19" customFormat="false" ht="63" hidden="false" customHeight="true" outlineLevel="0" collapsed="false">
      <c r="A19" s="16" t="s">
        <v>210</v>
      </c>
      <c r="B19" s="17" t="s">
        <v>211</v>
      </c>
      <c r="C19" s="17" t="s">
        <v>212</v>
      </c>
      <c r="D19" s="17" t="s">
        <v>213</v>
      </c>
      <c r="E19" s="18" t="s">
        <v>196</v>
      </c>
      <c r="F19" s="17" t="s">
        <v>211</v>
      </c>
      <c r="G19" s="19" t="n">
        <v>3</v>
      </c>
      <c r="H19" s="19" t="n">
        <v>2</v>
      </c>
      <c r="I19" s="20" t="str">
        <f aca="false">G19*H19&amp;" – "&amp;IF(G19*H19&gt;=16,"Crítico",IF(G19*H19&gt;=10,"Alto",IF(G19*H19&gt;=5,"Moderado","Bajo")))</f>
        <v>6 – Moderado</v>
      </c>
      <c r="J19" s="18" t="s">
        <v>72</v>
      </c>
      <c r="K19" s="17" t="s">
        <v>214</v>
      </c>
      <c r="L19" s="17" t="s">
        <v>85</v>
      </c>
      <c r="M19" s="17" t="s">
        <v>215</v>
      </c>
      <c r="N19" s="17" t="s">
        <v>216</v>
      </c>
      <c r="O19" s="17" t="s">
        <v>217</v>
      </c>
    </row>
    <row r="20" customFormat="false" ht="109.5" hidden="false" customHeight="true" outlineLevel="0" collapsed="false">
      <c r="A20" s="16" t="s">
        <v>218</v>
      </c>
      <c r="B20" s="17" t="s">
        <v>219</v>
      </c>
      <c r="C20" s="17" t="s">
        <v>220</v>
      </c>
      <c r="D20" s="17" t="s">
        <v>221</v>
      </c>
      <c r="E20" s="18" t="s">
        <v>222</v>
      </c>
      <c r="F20" s="17" t="s">
        <v>223</v>
      </c>
      <c r="G20" s="19" t="n">
        <v>3</v>
      </c>
      <c r="H20" s="19" t="n">
        <v>3</v>
      </c>
      <c r="I20" s="20" t="str">
        <f aca="false">G20*H20&amp;" – "&amp;IF(G20*H20&gt;=16,"Crítico",IF(G20*H20&gt;=10,"Alto",IF(G20*H20&gt;=5,"Moderado","Bajo")))</f>
        <v>9 – Moderado</v>
      </c>
      <c r="J20" s="18" t="s">
        <v>72</v>
      </c>
      <c r="K20" s="17" t="s">
        <v>224</v>
      </c>
      <c r="L20" s="17" t="s">
        <v>74</v>
      </c>
      <c r="M20" s="17" t="s">
        <v>225</v>
      </c>
      <c r="N20" s="17" t="s">
        <v>226</v>
      </c>
      <c r="O20" s="17" t="s">
        <v>227</v>
      </c>
    </row>
    <row r="21" customFormat="false" ht="75" hidden="false" customHeight="true" outlineLevel="0" collapsed="false">
      <c r="A21" s="16" t="s">
        <v>228</v>
      </c>
      <c r="B21" s="17" t="s">
        <v>79</v>
      </c>
      <c r="C21" s="17" t="s">
        <v>229</v>
      </c>
      <c r="D21" s="17" t="s">
        <v>230</v>
      </c>
      <c r="E21" s="18" t="s">
        <v>231</v>
      </c>
      <c r="F21" s="17" t="s">
        <v>83</v>
      </c>
      <c r="G21" s="19" t="n">
        <v>3</v>
      </c>
      <c r="H21" s="19" t="n">
        <v>3</v>
      </c>
      <c r="I21" s="20" t="str">
        <f aca="false">G21*H21&amp;" – "&amp;IF(G21*H21&gt;=16,"Crítico",IF(G21*H21&gt;=10,"Alto",IF(G21*H21&gt;=5,"Moderado","Bajo")))</f>
        <v>9 – Moderado</v>
      </c>
      <c r="J21" s="18" t="s">
        <v>72</v>
      </c>
      <c r="K21" s="17" t="s">
        <v>232</v>
      </c>
      <c r="L21" s="17" t="s">
        <v>85</v>
      </c>
      <c r="M21" s="17" t="s">
        <v>233</v>
      </c>
      <c r="N21" s="17" t="s">
        <v>234</v>
      </c>
      <c r="O21" s="17" t="s">
        <v>235</v>
      </c>
    </row>
    <row r="22" customFormat="false" ht="75" hidden="false" customHeight="true" outlineLevel="0" collapsed="false">
      <c r="A22" s="16" t="s">
        <v>236</v>
      </c>
      <c r="B22" s="17" t="s">
        <v>237</v>
      </c>
      <c r="C22" s="17" t="s">
        <v>238</v>
      </c>
      <c r="D22" s="17" t="s">
        <v>239</v>
      </c>
      <c r="E22" s="18" t="s">
        <v>240</v>
      </c>
      <c r="F22" s="17" t="s">
        <v>241</v>
      </c>
      <c r="G22" s="19" t="n">
        <v>4</v>
      </c>
      <c r="H22" s="19" t="n">
        <v>5</v>
      </c>
      <c r="I22" s="20" t="str">
        <f aca="false">G22*H22&amp;" – "&amp;IF(G22*H22&gt;=16,"Crítico",IF(G22*H22&gt;=10,"Alto",IF(G22*H22&gt;=5,"Moderado","Bajo")))</f>
        <v>20 – Crítico</v>
      </c>
      <c r="J22" s="18" t="s">
        <v>72</v>
      </c>
      <c r="K22" s="17" t="s">
        <v>242</v>
      </c>
      <c r="L22" s="17" t="s">
        <v>74</v>
      </c>
      <c r="M22" s="17" t="s">
        <v>243</v>
      </c>
      <c r="N22" s="17" t="s">
        <v>244</v>
      </c>
      <c r="O22" s="17" t="s">
        <v>245</v>
      </c>
    </row>
    <row r="23" customFormat="false" ht="75" hidden="false" customHeight="true" outlineLevel="0" collapsed="false">
      <c r="A23" s="16" t="s">
        <v>246</v>
      </c>
      <c r="B23" s="17" t="s">
        <v>247</v>
      </c>
      <c r="C23" s="17" t="s">
        <v>248</v>
      </c>
      <c r="D23" s="17" t="s">
        <v>249</v>
      </c>
      <c r="E23" s="18" t="s">
        <v>102</v>
      </c>
      <c r="F23" s="17" t="s">
        <v>250</v>
      </c>
      <c r="G23" s="19" t="n">
        <v>3</v>
      </c>
      <c r="H23" s="19" t="n">
        <v>4</v>
      </c>
      <c r="I23" s="20" t="str">
        <f aca="false">G23*H23&amp;" – "&amp;IF(G23*H23&gt;=16,"Crítico",IF(G23*H23&gt;=10,"Alto",IF(G23*H23&gt;=5,"Moderado","Bajo")))</f>
        <v>12 – Alto</v>
      </c>
      <c r="J23" s="18" t="s">
        <v>72</v>
      </c>
      <c r="K23" s="17" t="s">
        <v>251</v>
      </c>
      <c r="L23" s="17" t="s">
        <v>252</v>
      </c>
      <c r="M23" s="17" t="s">
        <v>253</v>
      </c>
      <c r="N23" s="17" t="s">
        <v>244</v>
      </c>
      <c r="O23" s="17" t="s">
        <v>254</v>
      </c>
    </row>
    <row r="24" customFormat="false" ht="63" hidden="false" customHeight="true" outlineLevel="0" collapsed="false">
      <c r="A24" s="16" t="s">
        <v>255</v>
      </c>
      <c r="B24" s="17" t="s">
        <v>256</v>
      </c>
      <c r="C24" s="17" t="s">
        <v>257</v>
      </c>
      <c r="D24" s="17" t="s">
        <v>258</v>
      </c>
      <c r="E24" s="18" t="s">
        <v>259</v>
      </c>
      <c r="F24" s="17" t="s">
        <v>250</v>
      </c>
      <c r="G24" s="19" t="n">
        <v>3</v>
      </c>
      <c r="H24" s="19" t="n">
        <v>4</v>
      </c>
      <c r="I24" s="20" t="str">
        <f aca="false">G24*H24&amp;" – "&amp;IF(G24*H24&gt;=16,"Crítico",IF(G24*H24&gt;=10,"Alto",IF(G24*H24&gt;=5,"Moderado","Bajo")))</f>
        <v>12 – Alto</v>
      </c>
      <c r="J24" s="18" t="s">
        <v>72</v>
      </c>
      <c r="K24" s="17" t="s">
        <v>260</v>
      </c>
      <c r="L24" s="17" t="s">
        <v>261</v>
      </c>
      <c r="M24" s="17" t="s">
        <v>262</v>
      </c>
      <c r="N24" s="17" t="s">
        <v>244</v>
      </c>
      <c r="O24" s="17" t="s">
        <v>263</v>
      </c>
    </row>
    <row r="25" customFormat="false" ht="63" hidden="false" customHeight="true" outlineLevel="0" collapsed="false">
      <c r="A25" s="16" t="s">
        <v>264</v>
      </c>
      <c r="B25" s="17" t="s">
        <v>193</v>
      </c>
      <c r="C25" s="17" t="s">
        <v>265</v>
      </c>
      <c r="D25" s="17" t="s">
        <v>266</v>
      </c>
      <c r="E25" s="18" t="s">
        <v>267</v>
      </c>
      <c r="F25" s="17" t="s">
        <v>197</v>
      </c>
      <c r="G25" s="19" t="n">
        <v>3</v>
      </c>
      <c r="H25" s="19" t="n">
        <v>3</v>
      </c>
      <c r="I25" s="20" t="str">
        <f aca="false">G25*H25&amp;" – "&amp;IF(G25*H25&gt;=16,"Crítico",IF(G25*H25&gt;=10,"Alto",IF(G25*H25&gt;=5,"Moderado","Bajo")))</f>
        <v>9 – Moderado</v>
      </c>
      <c r="J25" s="18" t="s">
        <v>72</v>
      </c>
      <c r="K25" s="17" t="s">
        <v>268</v>
      </c>
      <c r="L25" s="17" t="s">
        <v>85</v>
      </c>
      <c r="M25" s="17" t="s">
        <v>269</v>
      </c>
      <c r="N25" s="17" t="s">
        <v>244</v>
      </c>
      <c r="O25" s="17" t="s">
        <v>270</v>
      </c>
    </row>
    <row r="26" customFormat="false" ht="86.25" hidden="false" customHeight="true" outlineLevel="0" collapsed="false">
      <c r="A26" s="16" t="s">
        <v>271</v>
      </c>
      <c r="B26" s="17" t="s">
        <v>272</v>
      </c>
      <c r="C26" s="17" t="s">
        <v>273</v>
      </c>
      <c r="D26" s="17" t="s">
        <v>274</v>
      </c>
      <c r="E26" s="18" t="s">
        <v>102</v>
      </c>
      <c r="F26" s="17" t="s">
        <v>275</v>
      </c>
      <c r="G26" s="19" t="n">
        <v>3</v>
      </c>
      <c r="H26" s="19" t="n">
        <v>4</v>
      </c>
      <c r="I26" s="20" t="str">
        <f aca="false">G26*H26&amp;" – "&amp;IF(G26*H26&gt;=16,"Crítico",IF(G26*H26&gt;=10,"Alto",IF(G26*H26&gt;=5,"Moderado","Bajo")))</f>
        <v>12 – Alto</v>
      </c>
      <c r="J26" s="18" t="s">
        <v>72</v>
      </c>
      <c r="K26" s="17" t="s">
        <v>276</v>
      </c>
      <c r="L26" s="17" t="s">
        <v>277</v>
      </c>
      <c r="M26" s="17" t="s">
        <v>278</v>
      </c>
      <c r="N26" s="17" t="s">
        <v>244</v>
      </c>
      <c r="O26" s="17" t="s">
        <v>279</v>
      </c>
    </row>
    <row r="27" customFormat="false" ht="109.5" hidden="false" customHeight="true" outlineLevel="0" collapsed="false">
      <c r="A27" s="16" t="s">
        <v>280</v>
      </c>
      <c r="B27" s="17" t="s">
        <v>67</v>
      </c>
      <c r="C27" s="17" t="s">
        <v>281</v>
      </c>
      <c r="D27" s="17" t="s">
        <v>282</v>
      </c>
      <c r="E27" s="18" t="s">
        <v>283</v>
      </c>
      <c r="F27" s="17" t="s">
        <v>284</v>
      </c>
      <c r="G27" s="19" t="n">
        <v>4</v>
      </c>
      <c r="H27" s="19" t="n">
        <v>3</v>
      </c>
      <c r="I27" s="20" t="str">
        <f aca="false">G27*H27&amp;" – "&amp;IF(G27*H27&gt;=16,"Crítico",IF(G27*H27&gt;=10,"Alto",IF(G27*H27&gt;=5,"Moderado","Bajo")))</f>
        <v>12 – Alto</v>
      </c>
      <c r="J27" s="18" t="s">
        <v>72</v>
      </c>
      <c r="K27" s="17" t="s">
        <v>285</v>
      </c>
      <c r="L27" s="17" t="s">
        <v>74</v>
      </c>
      <c r="M27" s="17" t="s">
        <v>286</v>
      </c>
      <c r="N27" s="17" t="s">
        <v>244</v>
      </c>
      <c r="O27" s="17" t="s">
        <v>287</v>
      </c>
    </row>
    <row r="28" customFormat="false" ht="75" hidden="false" customHeight="true" outlineLevel="0" collapsed="false">
      <c r="A28" s="16" t="s">
        <v>288</v>
      </c>
      <c r="B28" s="17" t="s">
        <v>118</v>
      </c>
      <c r="C28" s="17" t="s">
        <v>289</v>
      </c>
      <c r="D28" s="17" t="s">
        <v>290</v>
      </c>
      <c r="E28" s="18" t="s">
        <v>291</v>
      </c>
      <c r="F28" s="17" t="s">
        <v>292</v>
      </c>
      <c r="G28" s="19" t="n">
        <v>3</v>
      </c>
      <c r="H28" s="19" t="n">
        <v>4</v>
      </c>
      <c r="I28" s="20" t="str">
        <f aca="false">G28*H28&amp;" – "&amp;IF(G28*H28&gt;=16,"Crítico",IF(G28*H28&gt;=10,"Alto",IF(G28*H28&gt;=5,"Moderado","Bajo")))</f>
        <v>12 – Alto</v>
      </c>
      <c r="J28" s="18" t="s">
        <v>72</v>
      </c>
      <c r="K28" s="17" t="s">
        <v>293</v>
      </c>
      <c r="L28" s="17" t="s">
        <v>85</v>
      </c>
      <c r="M28" s="17" t="s">
        <v>294</v>
      </c>
      <c r="N28" s="17" t="s">
        <v>244</v>
      </c>
      <c r="O28" s="17" t="s">
        <v>295</v>
      </c>
    </row>
    <row r="30" customFormat="false" ht="19.5" hidden="false" customHeight="true" outlineLevel="0" collapsed="false">
      <c r="A30" s="21" t="s">
        <v>296</v>
      </c>
    </row>
    <row r="31" customFormat="false" ht="75" hidden="false" customHeight="true" outlineLevel="0" collapsed="false">
      <c r="A31" s="16" t="s">
        <v>297</v>
      </c>
      <c r="B31" s="17" t="s">
        <v>298</v>
      </c>
      <c r="C31" s="22" t="s">
        <v>299</v>
      </c>
      <c r="D31" s="22" t="s">
        <v>300</v>
      </c>
      <c r="E31" s="18" t="s">
        <v>301</v>
      </c>
      <c r="F31" s="17" t="s">
        <v>302</v>
      </c>
      <c r="G31" s="19" t="n">
        <v>3</v>
      </c>
      <c r="H31" s="19" t="n">
        <v>4</v>
      </c>
      <c r="I31" s="23" t="s">
        <v>303</v>
      </c>
      <c r="J31" s="18" t="s">
        <v>72</v>
      </c>
      <c r="K31" s="22" t="s">
        <v>304</v>
      </c>
      <c r="L31" s="17" t="s">
        <v>74</v>
      </c>
      <c r="M31" s="17" t="s">
        <v>305</v>
      </c>
      <c r="N31" s="17" t="s">
        <v>306</v>
      </c>
      <c r="O31" s="17" t="s">
        <v>307</v>
      </c>
    </row>
  </sheetData>
  <autoFilter ref="A3:O28"/>
  <mergeCells count="1">
    <mergeCell ref="A1:O1"/>
  </mergeCells>
  <conditionalFormatting sqref="I4:I28">
    <cfRule type="expression" priority="2" aboveAverage="0" equalAverage="0" bottom="0" percent="0" rank="0" text="" dxfId="6">
      <formula>ISNUMBER(SEARCH("Crítico",$I4))</formula>
    </cfRule>
    <cfRule type="expression" priority="3" aboveAverage="0" equalAverage="0" bottom="0" percent="0" rank="0" text="" dxfId="7">
      <formula>ISNUMBER(SEARCH("Alto",$I4))</formula>
    </cfRule>
    <cfRule type="expression" priority="4" aboveAverage="0" equalAverage="0" bottom="0" percent="0" rank="0" text="" dxfId="8">
      <formula>ISNUMBER(SEARCH("Moderado",$I4))</formula>
    </cfRule>
    <cfRule type="expression" priority="5" aboveAverage="0" equalAverage="0" bottom="0" percent="0" rank="0" text="" dxfId="9">
      <formula>ISNUMBER(SEARCH("Bajo",$I4))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G8" activeCellId="0" sqref="G8"/>
    </sheetView>
  </sheetViews>
  <sheetFormatPr defaultColWidth="9.1484375" defaultRowHeight="15" zeroHeight="false" outlineLevelRow="0" outlineLevelCol="0"/>
  <cols>
    <col collapsed="false" customWidth="true" hidden="false" outlineLevel="0" max="1" min="1" style="0" width="20"/>
    <col collapsed="false" customWidth="true" hidden="false" outlineLevel="0" max="6" min="2" style="0" width="16"/>
    <col collapsed="false" customWidth="true" hidden="false" outlineLevel="0" max="7" min="7" style="0" width="3"/>
    <col collapsed="false" customWidth="true" hidden="false" outlineLevel="0" max="8" min="8" style="0" width="16"/>
    <col collapsed="false" customWidth="true" hidden="false" outlineLevel="0" max="13" min="9" style="0" width="10"/>
  </cols>
  <sheetData>
    <row r="1" customFormat="false" ht="30" hidden="false" customHeight="true" outlineLevel="0" collapsed="false">
      <c r="A1" s="1" t="s">
        <v>308</v>
      </c>
      <c r="B1" s="1"/>
      <c r="C1" s="1"/>
      <c r="D1" s="1"/>
      <c r="E1" s="1"/>
      <c r="F1" s="1"/>
      <c r="G1" s="1"/>
      <c r="H1" s="1"/>
    </row>
    <row r="2" customFormat="false" ht="6" hidden="false" customHeight="true" outlineLevel="0" collapsed="false"/>
    <row r="3" customFormat="false" ht="15" hidden="false" customHeight="false" outlineLevel="0" collapsed="false">
      <c r="H3" s="24" t="s">
        <v>309</v>
      </c>
    </row>
    <row r="4" customFormat="false" ht="19.5" hidden="false" customHeight="true" outlineLevel="0" collapsed="false">
      <c r="A4" s="25" t="s">
        <v>310</v>
      </c>
      <c r="B4" s="26" t="s">
        <v>311</v>
      </c>
      <c r="C4" s="26" t="s">
        <v>312</v>
      </c>
      <c r="D4" s="26" t="s">
        <v>313</v>
      </c>
      <c r="E4" s="26" t="s">
        <v>314</v>
      </c>
      <c r="F4" s="26" t="s">
        <v>315</v>
      </c>
      <c r="H4" s="25" t="s">
        <v>316</v>
      </c>
      <c r="I4" s="25" t="s">
        <v>317</v>
      </c>
      <c r="J4" s="25" t="s">
        <v>318</v>
      </c>
      <c r="K4" s="25" t="s">
        <v>319</v>
      </c>
      <c r="L4" s="25" t="s">
        <v>320</v>
      </c>
      <c r="M4" s="25" t="s">
        <v>321</v>
      </c>
    </row>
    <row r="5" customFormat="false" ht="39.75" hidden="false" customHeight="true" outlineLevel="0" collapsed="false">
      <c r="A5" s="26" t="s">
        <v>322</v>
      </c>
      <c r="B5" s="27" t="n">
        <v>5</v>
      </c>
      <c r="C5" s="28" t="n">
        <v>10</v>
      </c>
      <c r="D5" s="28" t="n">
        <v>15</v>
      </c>
      <c r="E5" s="29" t="n">
        <v>20</v>
      </c>
      <c r="F5" s="29" t="n">
        <v>25</v>
      </c>
      <c r="H5" s="25" t="s">
        <v>323</v>
      </c>
      <c r="I5" s="30" t="n">
        <f aca="false">COUNTIFS('Registro de Riesgos'!$G$4:$G$28,5,'Registro de Riesgos'!$H$4:$H$28,1)</f>
        <v>0</v>
      </c>
      <c r="J5" s="31" t="n">
        <f aca="false">COUNTIFS('Registro de Riesgos'!$G$4:$G$28,5,'Registro de Riesgos'!$H$4:$H$28,2)</f>
        <v>0</v>
      </c>
      <c r="K5" s="31" t="n">
        <f aca="false">COUNTIFS('Registro de Riesgos'!$G$4:$G$28,5,'Registro de Riesgos'!$H$4:$H$28,3)</f>
        <v>0</v>
      </c>
      <c r="L5" s="32" t="n">
        <f aca="false">COUNTIFS('Registro de Riesgos'!$G$4:$G$28,5,'Registro de Riesgos'!$H$4:$H$28,4)</f>
        <v>1</v>
      </c>
      <c r="M5" s="32" t="n">
        <f aca="false">COUNTIFS('Registro de Riesgos'!$G$4:$G$28,5,'Registro de Riesgos'!$H$4:$H$28,5)</f>
        <v>0</v>
      </c>
    </row>
    <row r="6" customFormat="false" ht="39.75" hidden="false" customHeight="true" outlineLevel="0" collapsed="false">
      <c r="A6" s="26" t="s">
        <v>324</v>
      </c>
      <c r="B6" s="33" t="n">
        <v>4</v>
      </c>
      <c r="C6" s="27" t="n">
        <v>8</v>
      </c>
      <c r="D6" s="28" t="n">
        <v>12</v>
      </c>
      <c r="E6" s="29" t="n">
        <v>16</v>
      </c>
      <c r="F6" s="29" t="n">
        <v>20</v>
      </c>
      <c r="H6" s="25" t="s">
        <v>325</v>
      </c>
      <c r="I6" s="34" t="n">
        <f aca="false">COUNTIFS('Registro de Riesgos'!$G$4:$G$28,4,'Registro de Riesgos'!$H$4:$H$28,1)</f>
        <v>0</v>
      </c>
      <c r="J6" s="30" t="n">
        <f aca="false">COUNTIFS('Registro de Riesgos'!$G$4:$G$28,4,'Registro de Riesgos'!$H$4:$H$28,2)</f>
        <v>0</v>
      </c>
      <c r="K6" s="31" t="n">
        <f aca="false">COUNTIFS('Registro de Riesgos'!$G$4:$G$28,4,'Registro de Riesgos'!$H$4:$H$28,3)</f>
        <v>3</v>
      </c>
      <c r="L6" s="32" t="n">
        <f aca="false">COUNTIFS('Registro de Riesgos'!$G$4:$G$28,4,'Registro de Riesgos'!$H$4:$H$28,4)</f>
        <v>2</v>
      </c>
      <c r="M6" s="32" t="n">
        <f aca="false">COUNTIFS('Registro de Riesgos'!$G$4:$G$28,4,'Registro de Riesgos'!$H$4:$H$28,5)</f>
        <v>2</v>
      </c>
    </row>
    <row r="7" customFormat="false" ht="39.75" hidden="false" customHeight="true" outlineLevel="0" collapsed="false">
      <c r="A7" s="26" t="s">
        <v>326</v>
      </c>
      <c r="B7" s="33" t="n">
        <v>3</v>
      </c>
      <c r="C7" s="27" t="n">
        <v>6</v>
      </c>
      <c r="D7" s="27" t="n">
        <v>9</v>
      </c>
      <c r="E7" s="28" t="n">
        <v>12</v>
      </c>
      <c r="F7" s="28" t="n">
        <v>15</v>
      </c>
      <c r="H7" s="25" t="s">
        <v>327</v>
      </c>
      <c r="I7" s="34" t="n">
        <f aca="false">COUNTIFS('Registro de Riesgos'!$G$4:$G$28,3,'Registro de Riesgos'!$H$4:$H$28,1)</f>
        <v>0</v>
      </c>
      <c r="J7" s="30" t="n">
        <f aca="false">COUNTIFS('Registro de Riesgos'!$G$4:$G$28,3,'Registro de Riesgos'!$H$4:$H$28,2)</f>
        <v>1</v>
      </c>
      <c r="K7" s="30" t="n">
        <f aca="false">COUNTIFS('Registro de Riesgos'!$G$4:$G$28,3,'Registro de Riesgos'!$H$4:$H$28,3)</f>
        <v>7</v>
      </c>
      <c r="L7" s="31" t="n">
        <f aca="false">COUNTIFS('Registro de Riesgos'!$G$4:$G$28,3,'Registro de Riesgos'!$H$4:$H$28,4)</f>
        <v>6</v>
      </c>
      <c r="M7" s="31" t="n">
        <f aca="false">COUNTIFS('Registro de Riesgos'!$G$4:$G$28,3,'Registro de Riesgos'!$H$4:$H$28,5)</f>
        <v>1</v>
      </c>
    </row>
    <row r="8" customFormat="false" ht="39.75" hidden="false" customHeight="true" outlineLevel="0" collapsed="false">
      <c r="A8" s="26" t="s">
        <v>328</v>
      </c>
      <c r="B8" s="33" t="n">
        <v>2</v>
      </c>
      <c r="C8" s="33" t="n">
        <v>4</v>
      </c>
      <c r="D8" s="27" t="n">
        <v>6</v>
      </c>
      <c r="E8" s="27" t="n">
        <v>8</v>
      </c>
      <c r="F8" s="28" t="n">
        <v>10</v>
      </c>
      <c r="H8" s="25" t="s">
        <v>329</v>
      </c>
      <c r="I8" s="34" t="n">
        <f aca="false">COUNTIFS('Registro de Riesgos'!$G$4:$G$28,2,'Registro de Riesgos'!$H$4:$H$28,1)</f>
        <v>0</v>
      </c>
      <c r="J8" s="34" t="n">
        <f aca="false">COUNTIFS('Registro de Riesgos'!$G$4:$G$28,2,'Registro de Riesgos'!$H$4:$H$28,2)</f>
        <v>0</v>
      </c>
      <c r="K8" s="30" t="n">
        <f aca="false">COUNTIFS('Registro de Riesgos'!$G$4:$G$28,2,'Registro de Riesgos'!$H$4:$H$28,3)</f>
        <v>0</v>
      </c>
      <c r="L8" s="30" t="n">
        <f aca="false">COUNTIFS('Registro de Riesgos'!$G$4:$G$28,2,'Registro de Riesgos'!$H$4:$H$28,4)</f>
        <v>1</v>
      </c>
      <c r="M8" s="31" t="n">
        <f aca="false">COUNTIFS('Registro de Riesgos'!$G$4:$G$28,2,'Registro de Riesgos'!$H$4:$H$28,5)</f>
        <v>1</v>
      </c>
    </row>
    <row r="9" customFormat="false" ht="39.75" hidden="false" customHeight="true" outlineLevel="0" collapsed="false">
      <c r="A9" s="26" t="s">
        <v>330</v>
      </c>
      <c r="B9" s="33" t="n">
        <v>1</v>
      </c>
      <c r="C9" s="33" t="n">
        <v>2</v>
      </c>
      <c r="D9" s="33" t="n">
        <v>3</v>
      </c>
      <c r="E9" s="33" t="n">
        <v>4</v>
      </c>
      <c r="F9" s="27" t="n">
        <v>5</v>
      </c>
      <c r="H9" s="25" t="s">
        <v>331</v>
      </c>
      <c r="I9" s="34" t="n">
        <f aca="false">COUNTIFS('Registro de Riesgos'!$G$4:$G$28,1,'Registro de Riesgos'!$H$4:$H$28,1)</f>
        <v>0</v>
      </c>
      <c r="J9" s="34" t="n">
        <f aca="false">COUNTIFS('Registro de Riesgos'!$G$4:$G$28,1,'Registro de Riesgos'!$H$4:$H$28,2)</f>
        <v>0</v>
      </c>
      <c r="K9" s="34" t="n">
        <f aca="false">COUNTIFS('Registro de Riesgos'!$G$4:$G$28,1,'Registro de Riesgos'!$H$4:$H$28,3)</f>
        <v>0</v>
      </c>
      <c r="L9" s="34" t="n">
        <f aca="false">COUNTIFS('Registro de Riesgos'!$G$4:$G$28,1,'Registro de Riesgos'!$H$4:$H$28,4)</f>
        <v>0</v>
      </c>
      <c r="M9" s="30" t="n">
        <f aca="false">COUNTIFS('Registro de Riesgos'!$G$4:$G$28,1,'Registro de Riesgos'!$H$4:$H$28,5)</f>
        <v>0</v>
      </c>
    </row>
    <row r="12" customFormat="false" ht="15" hidden="false" customHeight="false" outlineLevel="0" collapsed="false">
      <c r="A12" s="35" t="s">
        <v>332</v>
      </c>
      <c r="B12" s="35"/>
      <c r="C12" s="35"/>
      <c r="D12" s="35"/>
      <c r="E12" s="35"/>
      <c r="F12" s="35"/>
      <c r="G12" s="35"/>
      <c r="H12" s="35"/>
    </row>
    <row r="13" customFormat="false" ht="15" hidden="false" customHeight="false" outlineLevel="0" collapsed="false">
      <c r="A13" s="36" t="s">
        <v>333</v>
      </c>
      <c r="B13" s="37" t="s">
        <v>334</v>
      </c>
      <c r="C13" s="38" t="s">
        <v>335</v>
      </c>
      <c r="D13" s="39" t="s">
        <v>336</v>
      </c>
    </row>
    <row r="15" customFormat="false" ht="15" hidden="false" customHeight="false" outlineLevel="0" collapsed="false">
      <c r="A15" s="35" t="s">
        <v>337</v>
      </c>
      <c r="B15" s="35"/>
      <c r="C15" s="35"/>
      <c r="D15" s="35"/>
      <c r="E15" s="35"/>
      <c r="F15" s="35"/>
      <c r="G15" s="35"/>
      <c r="H15" s="35"/>
    </row>
    <row r="16" customFormat="false" ht="15.75" hidden="false" customHeight="true" outlineLevel="0" collapsed="false">
      <c r="A16" s="36" t="s">
        <v>333</v>
      </c>
      <c r="B16" s="40" t="n">
        <f aca="false">COUNTIF('Registro de Riesgos'!$I$4:$I$28,"*Bajo*")</f>
        <v>0</v>
      </c>
    </row>
    <row r="17" customFormat="false" ht="15.75" hidden="false" customHeight="true" outlineLevel="0" collapsed="false">
      <c r="A17" s="37" t="s">
        <v>334</v>
      </c>
      <c r="B17" s="40" t="n">
        <f aca="false">COUNTIF('Registro de Riesgos'!$I$4:$I$28,"*Moderado*")</f>
        <v>9</v>
      </c>
    </row>
    <row r="18" customFormat="false" ht="15.75" hidden="false" customHeight="true" outlineLevel="0" collapsed="false">
      <c r="A18" s="38" t="s">
        <v>335</v>
      </c>
      <c r="B18" s="40" t="n">
        <f aca="false">COUNTIF('Registro de Riesgos'!$I$4:$I$28,"*Alto*")</f>
        <v>11</v>
      </c>
    </row>
    <row r="19" customFormat="false" ht="15.75" hidden="false" customHeight="true" outlineLevel="0" collapsed="false">
      <c r="A19" s="39" t="s">
        <v>336</v>
      </c>
      <c r="B19" s="40" t="n">
        <f aca="false">COUNTIF('Registro de Riesgos'!$I$4:$I$28,"*Crítico*")</f>
        <v>5</v>
      </c>
    </row>
    <row r="20" customFormat="false" ht="15.75" hidden="false" customHeight="true" outlineLevel="0" collapsed="false">
      <c r="A20" s="41" t="s">
        <v>338</v>
      </c>
      <c r="B20" s="40" t="n">
        <f aca="false">SUM(B16:B19)</f>
        <v>25</v>
      </c>
    </row>
    <row r="23" customFormat="false" ht="15" hidden="false" customHeight="false" outlineLevel="0" collapsed="false">
      <c r="A23" s="35" t="s">
        <v>339</v>
      </c>
      <c r="B23" s="35"/>
      <c r="C23" s="35"/>
      <c r="D23" s="35"/>
      <c r="E23" s="35"/>
      <c r="F23" s="35"/>
      <c r="G23" s="35"/>
      <c r="H23" s="35"/>
    </row>
    <row r="24" customFormat="false" ht="15.75" hidden="false" customHeight="true" outlineLevel="0" collapsed="false">
      <c r="A24" s="41" t="str">
        <f aca="false">'Registro de Riesgos'!A4</f>
        <v>R-01</v>
      </c>
      <c r="B24" s="42" t="str">
        <f aca="false">IF(LEN('Registro de Riesgos'!C4)&gt;120,LEFT('Registro de Riesgos'!C4,117)&amp;"...",'Registro de Riesgos'!C4)</f>
        <v>El ERS v2 redefine el alcance respecto al Acta de Constitución v1.1: el sistema queda limitado al rol Ejecutivo (se r...</v>
      </c>
      <c r="C24" s="42"/>
      <c r="D24" s="42"/>
      <c r="E24" s="42"/>
      <c r="F24" s="42"/>
      <c r="G24" s="42"/>
      <c r="H24" s="42"/>
    </row>
    <row r="25" customFormat="false" ht="15.75" hidden="false" customHeight="true" outlineLevel="0" collapsed="false">
      <c r="A25" s="41" t="str">
        <f aca="false">'Registro de Riesgos'!A5</f>
        <v>R-02</v>
      </c>
      <c r="B25" s="42" t="str">
        <f aca="false">IF(LEN('Registro de Riesgos'!C5)&gt;120,LEFT('Registro de Riesgos'!C5,117)&amp;"...",'Registro de Riesgos'!C5)</f>
        <v>Los archivos Excel de cartera llegan con estructuras y nombres de columna distintos entre ejecutivos y meses (ej. COL...</v>
      </c>
      <c r="C25" s="42"/>
      <c r="D25" s="42"/>
      <c r="E25" s="42"/>
      <c r="F25" s="42"/>
      <c r="G25" s="42"/>
      <c r="H25" s="42"/>
    </row>
    <row r="26" customFormat="false" ht="15.75" hidden="false" customHeight="true" outlineLevel="0" collapsed="false">
      <c r="A26" s="41" t="str">
        <f aca="false">'Registro de Riesgos'!A6</f>
        <v>R-03</v>
      </c>
      <c r="B26" s="42" t="str">
        <f aca="false">IF(LEN('Registro de Riesgos'!C6)&gt;120,LEFT('Registro de Riesgos'!C6,117)&amp;"...",'Registro de Riesgos'!C6)</f>
        <v>El motor de scoring (RF-21) pondera mal las variables (monto, mora, tramo, estado de gestión) y entrega una priorizac...</v>
      </c>
      <c r="C26" s="42"/>
      <c r="D26" s="42"/>
      <c r="E26" s="42"/>
      <c r="F26" s="42"/>
      <c r="G26" s="42"/>
      <c r="H26" s="42"/>
    </row>
    <row r="27" customFormat="false" ht="15.75" hidden="false" customHeight="true" outlineLevel="0" collapsed="false">
      <c r="A27" s="41" t="str">
        <f aca="false">'Registro de Riesgos'!A7</f>
        <v>R-04</v>
      </c>
      <c r="B27" s="42" t="str">
        <f aca="false">IF(LEN('Registro de Riesgos'!C7)&gt;120,LEFT('Registro de Riesgos'!C7,117)&amp;"...",'Registro de Riesgos'!C7)</f>
        <v>La clasificación de la última gestión (RF-20) por palabras clave (sin NLP/ML) clasifica mal textos con errores de tip...</v>
      </c>
      <c r="C27" s="42"/>
      <c r="D27" s="42"/>
      <c r="E27" s="42"/>
      <c r="F27" s="42"/>
      <c r="G27" s="42"/>
      <c r="H27" s="42"/>
    </row>
    <row r="28" customFormat="false" ht="15.75" hidden="false" customHeight="true" outlineLevel="0" collapsed="false">
      <c r="A28" s="41" t="str">
        <f aca="false">'Registro de Riesgos'!A8</f>
        <v>R-06</v>
      </c>
      <c r="B28" s="42" t="str">
        <f aca="false">IF(LEN('Registro de Riesgos'!C8)&gt;120,LEFT('Registro de Riesgos'!C8,117)&amp;"...",'Registro de Riesgos'!C8)</f>
        <v>El sistema almacena y procesa datos personales y financieros sensibles de clientes (RUT, teléfono, deuda), incluido e...</v>
      </c>
      <c r="C28" s="42"/>
      <c r="D28" s="42"/>
      <c r="E28" s="42"/>
      <c r="F28" s="42"/>
      <c r="G28" s="42"/>
      <c r="H28" s="42"/>
    </row>
    <row r="29" customFormat="false" ht="15.75" hidden="false" customHeight="true" outlineLevel="0" collapsed="false">
      <c r="A29" s="41" t="str">
        <f aca="false">'Registro de Riesgos'!A9</f>
        <v>R-07</v>
      </c>
      <c r="B29" s="42" t="str">
        <f aca="false">IF(LEN('Registro de Riesgos'!C9)&gt;120,LEFT('Registro de Riesgos'!C9,117)&amp;"...",'Registro de Riesgos'!C9)</f>
        <v>Contraseñas o sesiones mal implementadas (sin hash+salt, sin expiración por inactividad) exponen datos bancarios sens...</v>
      </c>
      <c r="C29" s="42"/>
      <c r="D29" s="42"/>
      <c r="E29" s="42"/>
      <c r="F29" s="42"/>
      <c r="G29" s="42"/>
      <c r="H29" s="42"/>
    </row>
    <row r="30" customFormat="false" ht="15.75" hidden="false" customHeight="true" outlineLevel="0" collapsed="false">
      <c r="A30" s="41" t="str">
        <f aca="false">'Registro de Riesgos'!A10</f>
        <v>R-08</v>
      </c>
      <c r="B30" s="42" t="str">
        <f aca="false">IF(LEN('Registro de Riesgos'!C10)&gt;120,LEFT('Registro de Riesgos'!C10,117)&amp;"...",'Registro de Riesgos'!C10)</f>
        <v>El motor ETL o los dashboards no cumplen los tiempos de respuesta esperados (RNF-09: pocos segundos; RNF-10: fluidez ...</v>
      </c>
      <c r="C30" s="42"/>
      <c r="D30" s="42"/>
      <c r="E30" s="42"/>
      <c r="F30" s="42"/>
      <c r="G30" s="42"/>
      <c r="H30" s="42"/>
    </row>
    <row r="31" customFormat="false" ht="15.75" hidden="false" customHeight="true" outlineLevel="0" collapsed="false">
      <c r="A31" s="41" t="str">
        <f aca="false">'Registro de Riesgos'!A11</f>
        <v>R-09</v>
      </c>
      <c r="B31" s="42" t="str">
        <f aca="false">IF(LEN('Registro de Riesgos'!C11)&gt;120,LEFT('Registro de Riesgos'!C11,117)&amp;"...",'Registro de Riesgos'!C11)</f>
        <v>Las reglas automáticas de limpieza y corrección (RF-09, RF-10, RF-11) 'corrigen' datos de forma incorrecta, ocultando...</v>
      </c>
      <c r="C31" s="42"/>
      <c r="D31" s="42"/>
      <c r="E31" s="42"/>
      <c r="F31" s="42"/>
      <c r="G31" s="42"/>
      <c r="H31" s="42"/>
    </row>
    <row r="32" customFormat="false" ht="15.75" hidden="false" customHeight="true" outlineLevel="0" collapsed="false">
      <c r="A32" s="41" t="str">
        <f aca="false">'Registro de Riesgos'!A12</f>
        <v>R-10</v>
      </c>
      <c r="B32" s="42" t="str">
        <f aca="false">IF(LEN('Registro de Riesgos'!C12)&gt;120,LEFT('Registro de Riesgos'!C12,117)&amp;"...",'Registro de Riesgos'!C12)</f>
        <v>La alta variabilidad de formatos de Excel entre ejecutivos retrasa el desarrollo del motor ETL más allá de las 3 sema...</v>
      </c>
      <c r="C32" s="42"/>
      <c r="D32" s="42"/>
      <c r="E32" s="42"/>
      <c r="F32" s="42"/>
      <c r="G32" s="42"/>
      <c r="H32" s="42"/>
    </row>
    <row r="33" customFormat="false" ht="15.75" hidden="false" customHeight="true" outlineLevel="0" collapsed="false">
      <c r="A33" s="41" t="str">
        <f aca="false">'Registro de Riesgos'!A13</f>
        <v>R-11</v>
      </c>
      <c r="B33" s="42" t="str">
        <f aca="false">IF(LEN('Registro de Riesgos'!C13)&gt;120,LEFT('Registro de Riesgos'!C13,117)&amp;"...",'Registro de Riesgos'!C13)</f>
        <v>Resistencia al cambio de herramienta por parte de los ejecutivos, acostumbrados a trabajar en Excel.</v>
      </c>
      <c r="C33" s="42"/>
      <c r="D33" s="42"/>
      <c r="E33" s="42"/>
      <c r="F33" s="42"/>
      <c r="G33" s="42"/>
      <c r="H33" s="42"/>
    </row>
    <row r="34" customFormat="false" ht="15.75" hidden="false" customHeight="true" outlineLevel="0" collapsed="false">
      <c r="A34" s="41" t="str">
        <f aca="false">'Registro de Riesgos'!A14</f>
        <v>R-12</v>
      </c>
      <c r="B34" s="42" t="str">
        <f aca="false">IF(LEN('Registro de Riesgos'!C14)&gt;120,LEFT('Registro de Riesgos'!C14,117)&amp;"...",'Registro de Riesgos'!C14)</f>
        <v>El empaquetado de Phoenix Desktop (Electron + backend Node.js/TypeScript + SQLite) se comporta distinto según la vers...</v>
      </c>
      <c r="C34" s="42"/>
      <c r="D34" s="42"/>
      <c r="E34" s="42"/>
      <c r="F34" s="42"/>
      <c r="G34" s="42"/>
      <c r="H34" s="42"/>
    </row>
    <row r="35" customFormat="false" ht="15.75" hidden="false" customHeight="true" outlineLevel="0" collapsed="false">
      <c r="A35" s="41" t="str">
        <f aca="false">'Registro de Riesgos'!A15</f>
        <v>R-13</v>
      </c>
      <c r="B35" s="42" t="str">
        <f aca="false">IF(LEN('Registro de Riesgos'!C15)&gt;120,LEFT('Registro de Riesgos'!C15,117)&amp;"...",'Registro de Riesgos'!C15)</f>
        <v>Pérdida de información por operar sin respaldo en la nube, ante fallas de hardware o errores humanos.</v>
      </c>
      <c r="C35" s="42"/>
      <c r="D35" s="42"/>
      <c r="E35" s="42"/>
      <c r="F35" s="42"/>
      <c r="G35" s="42"/>
      <c r="H35" s="42"/>
    </row>
    <row r="36" customFormat="false" ht="15.75" hidden="false" customHeight="true" outlineLevel="0" collapsed="false">
      <c r="A36" s="41" t="str">
        <f aca="false">'Registro de Riesgos'!A16</f>
        <v>R-14</v>
      </c>
      <c r="B36" s="42" t="str">
        <f aca="false">IF(LEN('Registro de Riesgos'!C16)&gt;120,LEFT('Registro de Riesgos'!C16,117)&amp;"...",'Registro de Riesgos'!C16)</f>
        <v>El plazo académico del examen transversal (capstone) es insuficiente frente al alcance del ERS v2 (33 RF + 22 RNF; 22...</v>
      </c>
      <c r="C36" s="42"/>
      <c r="D36" s="42"/>
      <c r="E36" s="42"/>
      <c r="F36" s="42"/>
      <c r="G36" s="42"/>
      <c r="H36" s="42"/>
    </row>
    <row r="37" customFormat="false" ht="15.75" hidden="false" customHeight="true" outlineLevel="0" collapsed="false">
      <c r="A37" s="41" t="str">
        <f aca="false">'Registro de Riesgos'!A17</f>
        <v>R-15</v>
      </c>
      <c r="B37" s="42" t="str">
        <f aca="false">IF(LEN('Registro de Riesgos'!C17)&gt;120,LEFT('Registro de Riesgos'!C17,117)&amp;"...",'Registro de Riesgos'!C17)</f>
        <v>Cobertura de pruebas insuficiente para las funcionalidades del ERS v2 (normalización de datos, scoring, telefonía/col...</v>
      </c>
      <c r="C37" s="42"/>
      <c r="D37" s="42"/>
      <c r="E37" s="42"/>
      <c r="F37" s="42"/>
      <c r="G37" s="42"/>
      <c r="H37" s="42"/>
    </row>
    <row r="38" customFormat="false" ht="15.75" hidden="false" customHeight="true" outlineLevel="0" collapsed="false">
      <c r="A38" s="41" t="str">
        <f aca="false">'Registro de Riesgos'!A18</f>
        <v>R-16</v>
      </c>
      <c r="B38" s="42" t="str">
        <f aca="false">IF(LEN('Registro de Riesgos'!C18)&gt;120,LEFT('Registro de Riesgos'!C18,117)&amp;"...",'Registro de Riesgos'!C18)</f>
        <v>Interfaz poco intuitiva para usuarios no técnicos (ejecutivos de cobranza), afectando la adopción y el criterio de éx...</v>
      </c>
      <c r="C38" s="42"/>
      <c r="D38" s="42"/>
      <c r="E38" s="42"/>
      <c r="F38" s="42"/>
      <c r="G38" s="42"/>
      <c r="H38" s="42"/>
    </row>
    <row r="39" customFormat="false" ht="15.75" hidden="false" customHeight="true" outlineLevel="0" collapsed="false">
      <c r="A39" s="41" t="str">
        <f aca="false">'Registro de Riesgos'!A19</f>
        <v>R-17</v>
      </c>
      <c r="B39" s="42" t="str">
        <f aca="false">IF(LEN('Registro de Riesgos'!C19)&gt;120,LEFT('Registro de Riesgos'!C19,117)&amp;"...",'Registro de Riesgos'!C19)</f>
        <v>Documentación técnica y manual de usuario desactualizados respecto a la versión final entregada, dado el ritmo de cam...</v>
      </c>
      <c r="C39" s="42"/>
      <c r="D39" s="42"/>
      <c r="E39" s="42"/>
      <c r="F39" s="42"/>
      <c r="G39" s="42"/>
      <c r="H39" s="42"/>
    </row>
    <row r="40" customFormat="false" ht="15.75" hidden="false" customHeight="true" outlineLevel="0" collapsed="false">
      <c r="A40" s="41" t="str">
        <f aca="false">'Registro de Riesgos'!A20</f>
        <v>R-18</v>
      </c>
      <c r="B40" s="42" t="str">
        <f aca="false">IF(LEN('Registro de Riesgos'!C20)&gt;120,LEFT('Registro de Riesgos'!C20,117)&amp;"...",'Registro de Riesgos'!C20)</f>
        <v>La elección de SQLite en lugar de PostgreSQL introduce limitaciones de concurrencia (SQLite permite un solo proceso e...</v>
      </c>
      <c r="C40" s="42"/>
      <c r="D40" s="42"/>
      <c r="E40" s="42"/>
      <c r="F40" s="42"/>
      <c r="G40" s="42"/>
      <c r="H40" s="42"/>
    </row>
    <row r="41" customFormat="false" ht="15.75" hidden="false" customHeight="true" outlineLevel="0" collapsed="false">
      <c r="A41" s="41" t="str">
        <f aca="false">'Registro de Riesgos'!A21</f>
        <v>R-19</v>
      </c>
      <c r="B41" s="42" t="str">
        <f aca="false">IF(LEN('Registro de Riesgos'!C21)&gt;120,LEFT('Registro de Riesgos'!C21,117)&amp;"...",'Registro de Riesgos'!C21)</f>
        <v>El cambio de Pandas/OpenPyXL (Python) a librerías JavaScript/TypeScript (ej. ExcelJS, SheetJS) para el motor ETL pued...</v>
      </c>
      <c r="C41" s="42"/>
      <c r="D41" s="42"/>
      <c r="E41" s="42"/>
      <c r="F41" s="42"/>
      <c r="G41" s="42"/>
      <c r="H41" s="42"/>
    </row>
    <row r="42" customFormat="false" ht="15.75" hidden="false" customHeight="true" outlineLevel="0" collapsed="false">
      <c r="A42" s="41" t="str">
        <f aca="false">'Registro de Riesgos'!A22</f>
        <v>R-20</v>
      </c>
      <c r="B42" s="42" t="str">
        <f aca="false">IF(LEN('Registro de Riesgos'!C22)&gt;120,LEFT('Registro de Riesgos'!C22,117)&amp;"...",'Registro de Riesgos'!C22)</f>
        <v>Phoenix Mobile (RF-28, RF-29, RNF-16, RNF-17, RNF-21) no tiene ninguna tarea en el EDT (GAP crítico señalado en la ho...</v>
      </c>
      <c r="C42" s="42"/>
      <c r="D42" s="42"/>
      <c r="E42" s="42"/>
      <c r="F42" s="42"/>
      <c r="G42" s="42"/>
      <c r="H42" s="42"/>
    </row>
    <row r="43" customFormat="false" ht="15.75" hidden="false" customHeight="true" outlineLevel="0" collapsed="false">
      <c r="A43" s="41" t="str">
        <f aca="false">'Registro de Riesgos'!A23</f>
        <v>R-21</v>
      </c>
      <c r="B43" s="42" t="str">
        <f aca="false">IF(LEN('Registro de Riesgos'!C23)&gt;120,LEFT('Registro de Riesgos'!C23,117)&amp;"...",'Registro de Riesgos'!C23)</f>
        <v>La comunicación Desktop↔Mobile por HTTP/REST sobre LAN/Wi-Fi (RF-28, RF-29, RNF-17) puede fallar o ser inestable: red...</v>
      </c>
      <c r="C43" s="42"/>
      <c r="D43" s="42"/>
      <c r="E43" s="42"/>
      <c r="F43" s="42"/>
      <c r="G43" s="42"/>
      <c r="H43" s="42"/>
    </row>
    <row r="44" customFormat="false" ht="15.75" hidden="false" customHeight="true" outlineLevel="0" collapsed="false">
      <c r="A44" s="41" t="str">
        <f aca="false">'Registro de Riesgos'!A24</f>
        <v>R-22</v>
      </c>
      <c r="B44" s="42" t="str">
        <f aca="false">IF(LEN('Registro de Riesgos'!C24)&gt;120,LEFT('Registro de Riesgos'!C24,117)&amp;"...",'Registro de Riesgos'!C24)</f>
        <v>Phoenix Mobile no logra iniciar llamadas por restricciones de Android: permiso de llamadas no concedido o revocado (R...</v>
      </c>
      <c r="C44" s="42"/>
      <c r="D44" s="42"/>
      <c r="E44" s="42"/>
      <c r="F44" s="42"/>
      <c r="G44" s="42"/>
      <c r="H44" s="42"/>
    </row>
    <row r="45" customFormat="false" ht="15.75" hidden="false" customHeight="true" outlineLevel="0" collapsed="false">
      <c r="A45" s="41" t="str">
        <f aca="false">'Registro de Riesgos'!A25</f>
        <v>R-23</v>
      </c>
      <c r="B45" s="42" t="str">
        <f aca="false">IF(LEN('Registro de Riesgos'!C25)&gt;120,LEFT('Registro de Riesgos'!C25,117)&amp;"...",'Registro de Riesgos'!C25)</f>
        <v>El entorno de pruebas de Phoenix Mobile no está definido: un emulador no permite validar una llamada real por SIM, y ...</v>
      </c>
      <c r="C45" s="42"/>
      <c r="D45" s="42"/>
      <c r="E45" s="42"/>
      <c r="F45" s="42"/>
      <c r="G45" s="42"/>
      <c r="H45" s="42"/>
    </row>
    <row r="46" customFormat="false" ht="15.75" hidden="false" customHeight="true" outlineLevel="0" collapsed="false">
      <c r="A46" s="41" t="str">
        <f aca="false">'Registro de Riesgos'!A26</f>
        <v>R-24</v>
      </c>
      <c r="B46" s="42" t="str">
        <f aca="false">IF(LEN('Registro de Riesgos'!C26)&gt;120,LEFT('Registro de Riesgos'!C26,117)&amp;"...",'Registro de Riesgos'!C26)</f>
        <v>La cola progresiva (RF-30, RF-31, RF-32, RNF-22) aplica mal las reglas de elegibilidad (contacto inválido, 'no contac...</v>
      </c>
      <c r="C46" s="42"/>
      <c r="D46" s="42"/>
      <c r="E46" s="42"/>
      <c r="F46" s="42"/>
      <c r="G46" s="42"/>
      <c r="H46" s="42"/>
    </row>
    <row r="47" customFormat="false" ht="15.75" hidden="false" customHeight="true" outlineLevel="0" collapsed="false">
      <c r="A47" s="41" t="str">
        <f aca="false">'Registro de Riesgos'!A27</f>
        <v>R-25</v>
      </c>
      <c r="B47" s="42" t="str">
        <f aca="false">IF(LEN('Registro de Riesgos'!C27)&gt;120,LEFT('Registro de Riesgos'!C27,117)&amp;"...",'Registro de Riesgos'!C27)</f>
        <v>El EDT no está alineado con el ERS v2: describe React + FastAPI/JWT (con la inconsistencia 'JavaScript + FastAPI' en ...</v>
      </c>
      <c r="C47" s="42"/>
      <c r="D47" s="42"/>
      <c r="E47" s="42"/>
      <c r="F47" s="42"/>
      <c r="G47" s="42"/>
      <c r="H47" s="42"/>
    </row>
    <row r="48" customFormat="false" ht="15.75" hidden="false" customHeight="true" outlineLevel="0" collapsed="false">
      <c r="A48" s="41" t="str">
        <f aca="false">'Registro de Riesgos'!A28</f>
        <v>R-26</v>
      </c>
      <c r="B48" s="42" t="str">
        <f aca="false">IF(LEN('Registro de Riesgos'!C28)&gt;120,LEFT('Registro de Riesgos'!C28,117)&amp;"...",'Registro de Riesgos'!C28)</f>
        <v>El canal Desktop→Mobile usa HTTP/REST + JSON sobre LAN/Wi-Fi (RNF-17) y el ERS no define autenticación ni cifrado del...</v>
      </c>
      <c r="C48" s="42"/>
      <c r="D48" s="42"/>
      <c r="E48" s="42"/>
      <c r="F48" s="42"/>
      <c r="G48" s="42"/>
      <c r="H48" s="42"/>
    </row>
  </sheetData>
  <mergeCells count="29">
    <mergeCell ref="A1:H1"/>
    <mergeCell ref="A12:H12"/>
    <mergeCell ref="A15:H15"/>
    <mergeCell ref="A23:H23"/>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B48:H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80"/>
    <col collapsed="false" customWidth="true" hidden="false" outlineLevel="0" max="4" min="4" style="0" width="48"/>
  </cols>
  <sheetData>
    <row r="1" customFormat="false" ht="30" hidden="false" customHeight="true" outlineLevel="0" collapsed="false">
      <c r="A1" s="43" t="s">
        <v>340</v>
      </c>
      <c r="B1" s="43"/>
      <c r="C1" s="43"/>
      <c r="D1" s="43"/>
    </row>
    <row r="3" customFormat="false" ht="15" hidden="false" customHeight="false" outlineLevel="0" collapsed="false">
      <c r="A3" s="44" t="s">
        <v>341</v>
      </c>
    </row>
    <row r="4" customFormat="false" ht="15" hidden="false" customHeight="false" outlineLevel="0" collapsed="false">
      <c r="A4" s="45" t="s">
        <v>342</v>
      </c>
      <c r="B4" s="45" t="s">
        <v>343</v>
      </c>
      <c r="C4" s="45" t="s">
        <v>344</v>
      </c>
      <c r="D4" s="45" t="s">
        <v>345</v>
      </c>
    </row>
    <row r="5" customFormat="false" ht="39" hidden="false" customHeight="true" outlineLevel="0" collapsed="false">
      <c r="A5" s="46" t="s">
        <v>303</v>
      </c>
      <c r="B5" s="46" t="s">
        <v>297</v>
      </c>
      <c r="C5" s="46" t="s">
        <v>346</v>
      </c>
      <c r="D5" s="46" t="s">
        <v>347</v>
      </c>
    </row>
    <row r="6" customFormat="false" ht="27.75" hidden="false" customHeight="true" outlineLevel="0" collapsed="false">
      <c r="A6" s="46" t="s">
        <v>348</v>
      </c>
      <c r="B6" s="46" t="s">
        <v>66</v>
      </c>
      <c r="C6" s="46" t="s">
        <v>349</v>
      </c>
      <c r="D6" s="46" t="s">
        <v>350</v>
      </c>
    </row>
    <row r="7" customFormat="false" ht="27.75" hidden="false" customHeight="true" outlineLevel="0" collapsed="false">
      <c r="A7" s="46" t="s">
        <v>348</v>
      </c>
      <c r="B7" s="46" t="s">
        <v>163</v>
      </c>
      <c r="C7" s="46" t="s">
        <v>351</v>
      </c>
      <c r="D7" s="46" t="s">
        <v>352</v>
      </c>
    </row>
    <row r="8" customFormat="false" ht="27.75" hidden="false" customHeight="true" outlineLevel="0" collapsed="false">
      <c r="A8" s="46" t="s">
        <v>348</v>
      </c>
      <c r="B8" s="46" t="s">
        <v>183</v>
      </c>
      <c r="C8" s="46" t="s">
        <v>353</v>
      </c>
      <c r="D8" s="46" t="s">
        <v>354</v>
      </c>
    </row>
    <row r="9" customFormat="false" ht="27.75" hidden="false" customHeight="true" outlineLevel="0" collapsed="false">
      <c r="A9" s="46" t="s">
        <v>348</v>
      </c>
      <c r="B9" s="46" t="s">
        <v>192</v>
      </c>
      <c r="C9" s="46" t="s">
        <v>355</v>
      </c>
      <c r="D9" s="46" t="s">
        <v>356</v>
      </c>
    </row>
    <row r="10" customFormat="false" ht="27.75" hidden="false" customHeight="true" outlineLevel="0" collapsed="false">
      <c r="A10" s="46" t="s">
        <v>348</v>
      </c>
      <c r="B10" s="46" t="s">
        <v>218</v>
      </c>
      <c r="C10" s="46" t="s">
        <v>357</v>
      </c>
      <c r="D10" s="46" t="s">
        <v>358</v>
      </c>
    </row>
    <row r="11" customFormat="false" ht="62.25" hidden="false" customHeight="true" outlineLevel="0" collapsed="false">
      <c r="A11" s="46" t="s">
        <v>359</v>
      </c>
      <c r="B11" s="46" t="s">
        <v>360</v>
      </c>
      <c r="C11" s="46" t="s">
        <v>361</v>
      </c>
      <c r="D11" s="46" t="s">
        <v>362</v>
      </c>
    </row>
    <row r="12" customFormat="false" ht="39" hidden="false" customHeight="true" outlineLevel="0" collapsed="false">
      <c r="A12" s="46" t="s">
        <v>363</v>
      </c>
      <c r="B12" s="46" t="s">
        <v>364</v>
      </c>
      <c r="C12" s="46" t="s">
        <v>365</v>
      </c>
      <c r="D12" s="46" t="s">
        <v>366</v>
      </c>
    </row>
    <row r="13" customFormat="false" ht="27.75" hidden="false" customHeight="true" outlineLevel="0" collapsed="false">
      <c r="A13" s="46" t="s">
        <v>367</v>
      </c>
      <c r="B13" s="46" t="s">
        <v>236</v>
      </c>
      <c r="C13" s="46" t="s">
        <v>368</v>
      </c>
      <c r="D13" s="46" t="s">
        <v>369</v>
      </c>
    </row>
    <row r="14" customFormat="false" ht="18" hidden="false" customHeight="true" outlineLevel="0" collapsed="false">
      <c r="A14" s="46" t="s">
        <v>367</v>
      </c>
      <c r="B14" s="46" t="s">
        <v>246</v>
      </c>
      <c r="C14" s="46" t="s">
        <v>370</v>
      </c>
      <c r="D14" s="46" t="s">
        <v>371</v>
      </c>
    </row>
    <row r="15" customFormat="false" ht="18" hidden="false" customHeight="true" outlineLevel="0" collapsed="false">
      <c r="A15" s="46" t="s">
        <v>367</v>
      </c>
      <c r="B15" s="46" t="s">
        <v>255</v>
      </c>
      <c r="C15" s="46" t="s">
        <v>372</v>
      </c>
      <c r="D15" s="46" t="s">
        <v>373</v>
      </c>
    </row>
    <row r="16" customFormat="false" ht="27.75" hidden="false" customHeight="true" outlineLevel="0" collapsed="false">
      <c r="A16" s="46" t="s">
        <v>367</v>
      </c>
      <c r="B16" s="46" t="s">
        <v>264</v>
      </c>
      <c r="C16" s="46" t="s">
        <v>374</v>
      </c>
      <c r="D16" s="46" t="s">
        <v>375</v>
      </c>
    </row>
    <row r="17" customFormat="false" ht="18" hidden="false" customHeight="true" outlineLevel="0" collapsed="false">
      <c r="A17" s="46" t="s">
        <v>367</v>
      </c>
      <c r="B17" s="46" t="s">
        <v>271</v>
      </c>
      <c r="C17" s="46" t="s">
        <v>376</v>
      </c>
      <c r="D17" s="46" t="s">
        <v>377</v>
      </c>
    </row>
    <row r="18" customFormat="false" ht="27.75" hidden="false" customHeight="true" outlineLevel="0" collapsed="false">
      <c r="A18" s="46" t="s">
        <v>367</v>
      </c>
      <c r="B18" s="46" t="s">
        <v>280</v>
      </c>
      <c r="C18" s="46" t="s">
        <v>378</v>
      </c>
      <c r="D18" s="46" t="s">
        <v>379</v>
      </c>
    </row>
    <row r="19" customFormat="false" ht="18" hidden="false" customHeight="true" outlineLevel="0" collapsed="false">
      <c r="A19" s="46" t="s">
        <v>367</v>
      </c>
      <c r="B19" s="46" t="s">
        <v>288</v>
      </c>
      <c r="C19" s="46" t="s">
        <v>380</v>
      </c>
      <c r="D19" s="46" t="s">
        <v>381</v>
      </c>
    </row>
    <row r="21" customFormat="false" ht="15" hidden="false" customHeight="false" outlineLevel="0" collapsed="false">
      <c r="A21" s="44" t="s">
        <v>382</v>
      </c>
    </row>
    <row r="22" customFormat="false" ht="15" hidden="false" customHeight="false" outlineLevel="0" collapsed="false">
      <c r="A22" s="45" t="s">
        <v>383</v>
      </c>
      <c r="B22" s="45" t="s">
        <v>384</v>
      </c>
      <c r="C22" s="45" t="s">
        <v>385</v>
      </c>
    </row>
    <row r="23" customFormat="false" ht="18" hidden="false" customHeight="true" outlineLevel="0" collapsed="false">
      <c r="A23" s="46" t="s">
        <v>386</v>
      </c>
      <c r="B23" s="46" t="s">
        <v>387</v>
      </c>
      <c r="C23" s="46" t="s">
        <v>388</v>
      </c>
    </row>
    <row r="24" customFormat="false" ht="27.75" hidden="false" customHeight="true" outlineLevel="0" collapsed="false">
      <c r="A24" s="46" t="s">
        <v>389</v>
      </c>
      <c r="B24" s="46" t="s">
        <v>390</v>
      </c>
      <c r="C24" s="46" t="s">
        <v>391</v>
      </c>
    </row>
    <row r="25" customFormat="false" ht="27.75" hidden="false" customHeight="true" outlineLevel="0" collapsed="false">
      <c r="A25" s="46" t="s">
        <v>392</v>
      </c>
      <c r="B25" s="46" t="s">
        <v>393</v>
      </c>
      <c r="C25" s="46" t="s">
        <v>394</v>
      </c>
    </row>
    <row r="26" customFormat="false" ht="18" hidden="false" customHeight="true" outlineLevel="0" collapsed="false">
      <c r="A26" s="46" t="s">
        <v>395</v>
      </c>
      <c r="B26" s="46" t="s">
        <v>396</v>
      </c>
      <c r="C26" s="46" t="s">
        <v>397</v>
      </c>
    </row>
    <row r="27" customFormat="false" ht="18" hidden="false" customHeight="true" outlineLevel="0" collapsed="false">
      <c r="A27" s="46" t="s">
        <v>398</v>
      </c>
      <c r="B27" s="46" t="s">
        <v>399</v>
      </c>
      <c r="C27" s="46" t="s">
        <v>400</v>
      </c>
    </row>
    <row r="28" customFormat="false" ht="27.75" hidden="false" customHeight="true" outlineLevel="0" collapsed="false">
      <c r="A28" s="46" t="s">
        <v>401</v>
      </c>
      <c r="B28" s="46" t="s">
        <v>402</v>
      </c>
      <c r="C28" s="46" t="s">
        <v>403</v>
      </c>
    </row>
    <row r="29" customFormat="false" ht="51" hidden="false" customHeight="true" outlineLevel="0" collapsed="false">
      <c r="A29" s="46" t="s">
        <v>404</v>
      </c>
      <c r="B29" s="46" t="s">
        <v>405</v>
      </c>
      <c r="C29" s="46" t="s">
        <v>406</v>
      </c>
    </row>
    <row r="30" customFormat="false" ht="27.75" hidden="false" customHeight="true" outlineLevel="0" collapsed="false">
      <c r="A30" s="46" t="s">
        <v>407</v>
      </c>
      <c r="B30" s="46" t="s">
        <v>408</v>
      </c>
      <c r="C30" s="46" t="s">
        <v>409</v>
      </c>
    </row>
    <row r="31" customFormat="false" ht="18" hidden="false" customHeight="true" outlineLevel="0" collapsed="false">
      <c r="A31" s="46" t="s">
        <v>410</v>
      </c>
      <c r="B31" s="46" t="s">
        <v>411</v>
      </c>
      <c r="C31" s="46" t="s">
        <v>412</v>
      </c>
    </row>
    <row r="32" customFormat="false" ht="18" hidden="false" customHeight="true" outlineLevel="0" collapsed="false">
      <c r="A32" s="46" t="s">
        <v>413</v>
      </c>
      <c r="B32" s="46" t="s">
        <v>414</v>
      </c>
      <c r="C32" s="46" t="s">
        <v>415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2026-09-03T19:59:48Z</dcterms:created>
  <dc:creator>openpyxl</dc:creator>
  <dc:description/>
  <dc:language>en-US</dc:language>
  <cp:lastModifiedBy>CRISTOBAL ABDON GONZALO IRARRAZABAL GUTIERREZ</cp:lastModifiedBy>
  <dcterms:modified xsi:type="dcterms:W3CDTF">2026-10-16T18:42:54Z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